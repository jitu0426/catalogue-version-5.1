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1846ce882123f/Desktop/"/>
    </mc:Choice>
  </mc:AlternateContent>
  <xr:revisionPtr revIDLastSave="308" documentId="8_{B5CB9DC2-2DBC-48FC-8A4C-3FED4FBFDA8B}" xr6:coauthVersionLast="47" xr6:coauthVersionMax="47" xr10:uidLastSave="{A2024DC8-1E5C-4BF1-A000-7CFC4CA9AAB0}"/>
  <bookViews>
    <workbookView xWindow="-110" yWindow="-110" windowWidth="19420" windowHeight="11500" xr2:uid="{94297B88-8998-40EB-8FA5-F929672964CF}"/>
  </bookViews>
  <sheets>
    <sheet name="Sheet1" sheetId="1" r:id="rId1"/>
    <sheet name="Sheet3" sheetId="3" r:id="rId2"/>
  </sheets>
  <definedNames>
    <definedName name="_xlnm._FilterDatabase" localSheetId="0" hidden="1">Sheet1!$A$2:$I$2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8" i="1" l="1"/>
  <c r="G58" i="1"/>
  <c r="H58" i="1"/>
  <c r="I58" i="1"/>
  <c r="I57" i="1"/>
  <c r="I56" i="1"/>
  <c r="I50" i="1"/>
  <c r="I49" i="1"/>
  <c r="I48" i="1"/>
  <c r="I47" i="1"/>
  <c r="I46" i="1"/>
</calcChain>
</file>

<file path=xl/sharedStrings.xml><?xml version="1.0" encoding="utf-8"?>
<sst xmlns="http://schemas.openxmlformats.org/spreadsheetml/2006/main" count="175" uniqueCount="97">
  <si>
    <t>Category</t>
  </si>
  <si>
    <t>Description</t>
  </si>
  <si>
    <t>Gross Wt. Kg</t>
  </si>
  <si>
    <t>Net Wt. Kg</t>
  </si>
  <si>
    <t>Length Cm</t>
  </si>
  <si>
    <t>Breadth Cm</t>
  </si>
  <si>
    <t>Height Cm</t>
  </si>
  <si>
    <t>CBM</t>
  </si>
  <si>
    <t>Case Size Qty Per Carton</t>
  </si>
  <si>
    <t>25 Doz</t>
  </si>
  <si>
    <t>MASALA 15 GMS</t>
  </si>
  <si>
    <t>24 Doz</t>
  </si>
  <si>
    <t>0.060</t>
  </si>
  <si>
    <t>NEW AGE MASALA 15 GMS</t>
  </si>
  <si>
    <t>UNIVERSAL MASALA GIFT PACK</t>
  </si>
  <si>
    <t>48 Pcs</t>
  </si>
  <si>
    <t xml:space="preserve">NATURE MASALA GIFT PACK </t>
  </si>
  <si>
    <t>100 GM MASALA PACK</t>
  </si>
  <si>
    <t>6 Doz</t>
  </si>
  <si>
    <t>12 Doz</t>
  </si>
  <si>
    <t>7 SERIES POUCH</t>
  </si>
  <si>
    <t>BACK FLOW CONES</t>
  </si>
  <si>
    <r>
      <t>AROMA OIL</t>
    </r>
    <r>
      <rPr>
        <sz val="7"/>
        <color rgb="FF3D2020"/>
        <rFont val="Arial"/>
        <family val="2"/>
      </rPr>
      <t> </t>
    </r>
  </si>
  <si>
    <t>8 Doz</t>
  </si>
  <si>
    <r>
      <t>CONE</t>
    </r>
    <r>
      <rPr>
        <sz val="7"/>
        <color rgb="FF3D2020"/>
        <rFont val="Arial"/>
        <family val="2"/>
      </rPr>
      <t> </t>
    </r>
  </si>
  <si>
    <t>6 box</t>
  </si>
  <si>
    <t>30 Doz</t>
  </si>
  <si>
    <r>
      <t>DHOOP</t>
    </r>
    <r>
      <rPr>
        <sz val="7"/>
        <color rgb="FF3D2020"/>
        <rFont val="Arial"/>
        <family val="2"/>
      </rPr>
      <t> </t>
    </r>
  </si>
  <si>
    <t>48 Doz</t>
  </si>
  <si>
    <t>ECONOMY 100 STICK</t>
  </si>
  <si>
    <t>GLASS JAR SMUDGE CANDLE 185 GMS</t>
  </si>
  <si>
    <t>2 Doz</t>
  </si>
  <si>
    <t>GIFT PACK</t>
  </si>
  <si>
    <t>MASALA CONES</t>
  </si>
  <si>
    <t>POP TALL 25 GMS</t>
  </si>
  <si>
    <t>24 doz</t>
  </si>
  <si>
    <r>
      <t>PRECIOUS SOAPS</t>
    </r>
    <r>
      <rPr>
        <sz val="7"/>
        <color rgb="FF3D2020"/>
        <rFont val="Arial"/>
        <family val="2"/>
      </rPr>
      <t> </t>
    </r>
  </si>
  <si>
    <t>96 Pcs</t>
  </si>
  <si>
    <r>
      <t>RESIN</t>
    </r>
    <r>
      <rPr>
        <sz val="7"/>
        <color rgb="FF3D2020"/>
        <rFont val="Arial"/>
        <family val="2"/>
      </rPr>
      <t> </t>
    </r>
  </si>
  <si>
    <t>RESIN CUP DHOOP COLLECTION</t>
  </si>
  <si>
    <t>48 Box</t>
  </si>
  <si>
    <t>SACRED ELEMENT SPRAY &amp; YOG CHAKRA SPRAY</t>
  </si>
  <si>
    <t>SMUDGE TEA LIGHT FRAGRANCE CANDLE</t>
  </si>
  <si>
    <t>6 doz</t>
  </si>
  <si>
    <t>SMUDGE TIN CANDLE 90 GMS</t>
  </si>
  <si>
    <t>SQUARE</t>
  </si>
  <si>
    <t>TALL ECONOMY 100 GMS</t>
  </si>
  <si>
    <t>50 Box</t>
  </si>
  <si>
    <t>HEXA</t>
  </si>
  <si>
    <t>TALL HEXA</t>
  </si>
  <si>
    <t>20 Doz</t>
  </si>
  <si>
    <t>10 Doz</t>
  </si>
  <si>
    <t>Smudge Organic Disc</t>
  </si>
  <si>
    <t>Smudge Balls</t>
  </si>
  <si>
    <t>WITCHCRAFT POUCH</t>
  </si>
  <si>
    <t>SCARED ELEMENTS MANIFESTATION INCENSE</t>
  </si>
  <si>
    <t>Manifestation candle 185 grms</t>
  </si>
  <si>
    <t>Affirmation Ritual Kit</t>
  </si>
  <si>
    <t>Sacred Elements Spiritual Series Masala 15gm</t>
  </si>
  <si>
    <t>Sacred Elements Dual Series Masala 15gm</t>
  </si>
  <si>
    <t>Sacred Element Room Spray</t>
  </si>
  <si>
    <t>SMUDGE CANDLE 185 GMS </t>
  </si>
  <si>
    <t>Sacred Element Organic Incense 10 Sticks </t>
  </si>
  <si>
    <t>Sacred Element Organic Incense 8 Sticks </t>
  </si>
  <si>
    <t>CONES SACRED ELEMENT ORGANIC </t>
  </si>
  <si>
    <t>Sacred Elements Jumbo 16 </t>
  </si>
  <si>
    <t>Balanced Living Incense Pouch </t>
  </si>
  <si>
    <t>Sacred Elements Catalogue</t>
  </si>
  <si>
    <t xml:space="preserve">12 Doz </t>
  </si>
  <si>
    <t xml:space="preserve"> 6 doz</t>
  </si>
  <si>
    <t>2 doz</t>
  </si>
  <si>
    <t>36 Doz</t>
  </si>
  <si>
    <t>Cup Dhoop</t>
  </si>
  <si>
    <t>Ghee Diya</t>
  </si>
  <si>
    <t>HEM Camphor</t>
  </si>
  <si>
    <t>HEM Gangajal</t>
  </si>
  <si>
    <t>Pooja Oil </t>
  </si>
  <si>
    <t>Pooja Samagri</t>
  </si>
  <si>
    <t>20 pcs</t>
  </si>
  <si>
    <t>40pcs</t>
  </si>
  <si>
    <t>9 Doz</t>
  </si>
  <si>
    <t>4 Doz</t>
  </si>
  <si>
    <t>12 doz</t>
  </si>
  <si>
    <t>4 doz</t>
  </si>
  <si>
    <t>POOJA Catalogue</t>
  </si>
  <si>
    <t>HEM Catalogue</t>
  </si>
  <si>
    <t xml:space="preserve"> 7 chakra</t>
  </si>
  <si>
    <t>Manifestation Candle</t>
  </si>
  <si>
    <r>
      <t>SMUDGE CANDLE 90 GMS</t>
    </r>
    <r>
      <rPr>
        <sz val="11"/>
        <color rgb="FF3D2020"/>
        <rFont val="Arial"/>
        <family val="2"/>
      </rPr>
      <t> </t>
    </r>
  </si>
  <si>
    <t>Spell Candle</t>
  </si>
  <si>
    <t>3 Doz</t>
  </si>
  <si>
    <t>Candle Catalogue</t>
  </si>
  <si>
    <t>PREMIUM MASALA INCENSE (Hexa 15Stik)</t>
  </si>
  <si>
    <r>
      <t>CAR FRESHENER</t>
    </r>
    <r>
      <rPr>
        <sz val="7"/>
        <color rgb="FF3D2020"/>
        <rFont val="Arial"/>
        <family val="2"/>
      </rPr>
      <t> </t>
    </r>
  </si>
  <si>
    <t>ENERGY CLEANSING KIT</t>
  </si>
  <si>
    <t>QATARI POWDER HEXA PACK</t>
  </si>
  <si>
    <t>7 CHAKRA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</si>
</sst>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7"/>
      <color rgb="FF3D2020"/>
      <name val="Arial"/>
      <family val="2"/>
    </font>
    <font>
      <sz val="11"/>
      <color rgb="FF3D2020"/>
      <name val="Arial"/>
      <family val="2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rgb="FF1A0A0A"/>
      <name val="Arial"/>
      <family val="2"/>
    </font>
    <font>
      <sz val="8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D9D9D9"/>
        <bgColor rgb="FF000000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29">
    <xf numFmtId="0" fontId="0" fillId="0" borderId="0"/>
    <xf numFmtId="0" fontId="3" fillId="0" borderId="0"/>
    <xf numFmtId="0" fontId="4" fillId="0" borderId="0">
      <alignment vertical="center"/>
    </xf>
    <xf numFmtId="0" fontId="4" fillId="0" borderId="0"/>
    <xf numFmtId="0" fontId="5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9" fillId="13" borderId="3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0" fillId="5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6" fillId="4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>
      <alignment vertical="center"/>
    </xf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19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0" fillId="13" borderId="4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4" borderId="20" applyNumberFormat="0" applyAlignment="0" applyProtection="0"/>
    <xf numFmtId="0" fontId="9" fillId="13" borderId="68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16" fillId="4" borderId="32" applyNumberFormat="0" applyAlignment="0" applyProtection="0"/>
    <xf numFmtId="0" fontId="9" fillId="13" borderId="12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9" fillId="13" borderId="88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16" fillId="4" borderId="24" applyNumberFormat="0" applyAlignment="0" applyProtection="0"/>
    <xf numFmtId="0" fontId="9" fillId="13" borderId="88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16" fillId="4" borderId="16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80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72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64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56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8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40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32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16" applyNumberFormat="0" applyAlignment="0" applyProtection="0"/>
    <xf numFmtId="0" fontId="9" fillId="13" borderId="24" applyNumberFormat="0" applyAlignment="0" applyProtection="0"/>
    <xf numFmtId="0" fontId="9" fillId="13" borderId="24" applyNumberFormat="0" applyAlignment="0" applyProtection="0"/>
    <xf numFmtId="0" fontId="9" fillId="13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12" applyNumberFormat="0" applyAlignment="0" applyProtection="0"/>
    <xf numFmtId="0" fontId="9" fillId="13" borderId="28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0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28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36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44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52" applyNumberFormat="0" applyAlignment="0" applyProtection="0"/>
    <xf numFmtId="0" fontId="9" fillId="13" borderId="10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0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16" fillId="4" borderId="12" applyNumberFormat="0" applyAlignment="0" applyProtection="0"/>
    <xf numFmtId="0" fontId="9" fillId="13" borderId="68" applyNumberFormat="0" applyAlignment="0" applyProtection="0"/>
    <xf numFmtId="0" fontId="9" fillId="13" borderId="68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9" fillId="13" borderId="76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16" fillId="4" borderId="20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9" fillId="13" borderId="84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16" fillId="4" borderId="28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9" fillId="13" borderId="92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19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4" fillId="3" borderId="11" applyNumberFormat="0" applyFon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20" fillId="13" borderId="13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16" fillId="4" borderId="36" applyNumberFormat="0" applyAlignment="0" applyProtection="0"/>
    <xf numFmtId="0" fontId="9" fillId="13" borderId="92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22" fillId="0" borderId="14" applyNumberFormat="0" applyFill="0" applyAlignment="0" applyProtection="0"/>
    <xf numFmtId="0" fontId="9" fillId="13" borderId="100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0" applyNumberFormat="0" applyAlignment="0" applyProtection="0"/>
    <xf numFmtId="0" fontId="9" fillId="13" borderId="96" applyNumberFormat="0" applyAlignment="0" applyProtection="0"/>
    <xf numFmtId="0" fontId="16" fillId="4" borderId="32" applyNumberFormat="0" applyAlignment="0" applyProtection="0"/>
    <xf numFmtId="0" fontId="9" fillId="13" borderId="80" applyNumberFormat="0" applyAlignment="0" applyProtection="0"/>
    <xf numFmtId="0" fontId="9" fillId="13" borderId="88" applyNumberForma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19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4" fillId="3" borderId="15" applyNumberFormat="0" applyFon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20" fillId="13" borderId="17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16" fillId="4" borderId="44" applyNumberFormat="0" applyAlignment="0" applyProtection="0"/>
    <xf numFmtId="0" fontId="9" fillId="13" borderId="100" applyNumberFormat="0" applyAlignment="0" applyProtection="0"/>
    <xf numFmtId="0" fontId="9" fillId="13" borderId="92" applyNumberFormat="0" applyAlignment="0" applyProtection="0"/>
    <xf numFmtId="0" fontId="9" fillId="13" borderId="84" applyNumberFormat="0" applyAlignment="0" applyProtection="0"/>
    <xf numFmtId="0" fontId="9" fillId="13" borderId="92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16" fillId="4" borderId="44" applyNumberForma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19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4" fillId="3" borderId="19" applyNumberFormat="0" applyFon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20" fillId="13" borderId="21" applyNumberFormat="0" applyAlignment="0" applyProtection="0"/>
    <xf numFmtId="0" fontId="16" fillId="4" borderId="44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22" fillId="0" borderId="22" applyNumberFormat="0" applyFill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04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88" applyNumberFormat="0" applyAlignment="0" applyProtection="0"/>
    <xf numFmtId="0" fontId="9" fillId="13" borderId="96" applyNumberFormat="0" applyAlignment="0" applyProtection="0"/>
    <xf numFmtId="0" fontId="16" fillId="4" borderId="48" applyNumberForma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19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4" fillId="3" borderId="23" applyNumberFormat="0" applyFon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20" fillId="13" borderId="25" applyNumberFormat="0" applyAlignment="0" applyProtection="0"/>
    <xf numFmtId="0" fontId="16" fillId="4" borderId="48" applyNumberFormat="0" applyAlignment="0" applyProtection="0"/>
    <xf numFmtId="0" fontId="16" fillId="4" borderId="48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08" applyNumberFormat="0" applyAlignment="0" applyProtection="0"/>
    <xf numFmtId="0" fontId="9" fillId="13" borderId="108" applyNumberFormat="0" applyAlignment="0" applyProtection="0"/>
    <xf numFmtId="0" fontId="9" fillId="13" borderId="100" applyNumberFormat="0" applyAlignment="0" applyProtection="0"/>
    <xf numFmtId="0" fontId="9" fillId="13" borderId="84" applyNumberFormat="0" applyAlignment="0" applyProtection="0"/>
    <xf numFmtId="0" fontId="9" fillId="13" borderId="100" applyNumberForma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19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4" fillId="3" borderId="27" applyNumberFormat="0" applyFon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20" fillId="13" borderId="29" applyNumberFormat="0" applyAlignment="0" applyProtection="0"/>
    <xf numFmtId="0" fontId="16" fillId="4" borderId="52" applyNumberFormat="0" applyAlignment="0" applyProtection="0"/>
    <xf numFmtId="0" fontId="16" fillId="4" borderId="52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22" fillId="0" borderId="30" applyNumberFormat="0" applyFill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12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96" applyNumberFormat="0" applyAlignment="0" applyProtection="0"/>
    <xf numFmtId="0" fontId="9" fillId="13" borderId="104" applyNumberForma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19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4" fillId="3" borderId="31" applyNumberFormat="0" applyFon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20" fillId="13" borderId="33" applyNumberFormat="0" applyAlignment="0" applyProtection="0"/>
    <xf numFmtId="0" fontId="16" fillId="4" borderId="56" applyNumberFormat="0" applyAlignment="0" applyProtection="0"/>
    <xf numFmtId="0" fontId="16" fillId="4" borderId="56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9" fillId="13" borderId="120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22" fillId="0" borderId="34" applyNumberFormat="0" applyFill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16" fillId="4" borderId="64" applyNumberFormat="0" applyAlignment="0" applyProtection="0"/>
    <xf numFmtId="0" fontId="9" fillId="13" borderId="116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92" applyNumberFormat="0" applyAlignment="0" applyProtection="0"/>
    <xf numFmtId="0" fontId="9" fillId="13" borderId="108" applyNumberForma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19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4" fillId="3" borderId="35" applyNumberFormat="0" applyFon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20" fillId="13" borderId="37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16" fillId="4" borderId="60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16" fillId="4" borderId="68" applyNumberFormat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22" fillId="0" borderId="38" applyNumberFormat="0" applyFill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4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04" applyNumberFormat="0" applyAlignment="0" applyProtection="0"/>
    <xf numFmtId="0" fontId="9" fillId="13" borderId="112" applyNumberForma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19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4" fillId="3" borderId="39" applyNumberFormat="0" applyFon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20" fillId="13" borderId="41" applyNumberFormat="0" applyAlignment="0" applyProtection="0"/>
    <xf numFmtId="0" fontId="16" fillId="4" borderId="64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9" fillId="13" borderId="128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22" fillId="0" borderId="42" applyNumberFormat="0" applyFill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16" fillId="4" borderId="72" applyNumberFormat="0" applyAlignment="0" applyProtection="0"/>
    <xf numFmtId="0" fontId="9" fillId="13" borderId="124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9" fillId="13" borderId="108" applyNumberFormat="0" applyAlignment="0" applyProtection="0"/>
    <xf numFmtId="0" fontId="9" fillId="13" borderId="116" applyNumberForma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19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4" fillId="3" borderId="43" applyNumberFormat="0" applyFon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20" fillId="13" borderId="45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16" fillId="4" borderId="68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9" fillId="13" borderId="132" applyNumberFormat="0" applyAlignment="0" applyProtection="0"/>
    <xf numFmtId="0" fontId="16" fillId="4" borderId="76" applyNumberFormat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22" fillId="0" borderId="46" applyNumberFormat="0" applyFill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2" applyNumberFormat="0" applyAlignment="0" applyProtection="0"/>
    <xf numFmtId="0" fontId="9" fillId="13" borderId="128" applyNumberFormat="0" applyAlignment="0" applyProtection="0"/>
    <xf numFmtId="0" fontId="9" fillId="13" borderId="120" applyNumberFormat="0" applyAlignment="0" applyProtection="0"/>
    <xf numFmtId="0" fontId="9" fillId="13" borderId="112" applyNumberFormat="0" applyAlignment="0" applyProtection="0"/>
    <xf numFmtId="0" fontId="9" fillId="13" borderId="120" applyNumberForma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19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4" fillId="3" borderId="47" applyNumberFormat="0" applyFon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20" fillId="13" borderId="49" applyNumberFormat="0" applyAlignment="0" applyProtection="0"/>
    <xf numFmtId="0" fontId="16" fillId="4" borderId="72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22" fillId="0" borderId="50" applyNumberFormat="0" applyFill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80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9" fillId="13" borderId="116" applyNumberForma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19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4" fillId="3" borderId="51" applyNumberFormat="0" applyFon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20" fillId="13" borderId="53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16" fillId="4" borderId="76" applyNumberFormat="0" applyAlignment="0" applyProtection="0"/>
    <xf numFmtId="0" fontId="9" fillId="13" borderId="132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22" fillId="0" borderId="54" applyNumberFormat="0" applyFill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80" applyNumberFormat="0" applyAlignment="0" applyProtection="0"/>
    <xf numFmtId="0" fontId="9" fillId="13" borderId="120" applyNumberFormat="0" applyAlignment="0" applyProtection="0"/>
    <xf numFmtId="0" fontId="9" fillId="13" borderId="128" applyNumberForma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19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4" fillId="3" borderId="55" applyNumberFormat="0" applyFon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20" fillId="13" borderId="57" applyNumberFormat="0" applyAlignment="0" applyProtection="0"/>
    <xf numFmtId="0" fontId="16" fillId="4" borderId="80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22" fillId="0" borderId="58" applyNumberFormat="0" applyFill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9" fillId="13" borderId="132" applyNumberFormat="0" applyAlignment="0" applyProtection="0"/>
    <xf numFmtId="0" fontId="9" fillId="13" borderId="124" applyNumberFormat="0" applyAlignment="0" applyProtection="0"/>
    <xf numFmtId="0" fontId="16" fillId="4" borderId="84" applyNumberForma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19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4" fillId="3" borderId="59" applyNumberFormat="0" applyFon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20" fillId="13" borderId="61" applyNumberFormat="0" applyAlignment="0" applyProtection="0"/>
    <xf numFmtId="0" fontId="16" fillId="4" borderId="84" applyNumberFormat="0" applyAlignment="0" applyProtection="0"/>
    <xf numFmtId="0" fontId="16" fillId="4" borderId="84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22" fillId="0" borderId="62" applyNumberFormat="0" applyFill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9" fillId="13" borderId="120" applyNumberForma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19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4" fillId="3" borderId="63" applyNumberFormat="0" applyFon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20" fillId="13" borderId="65" applyNumberFormat="0" applyAlignment="0" applyProtection="0"/>
    <xf numFmtId="0" fontId="16" fillId="4" borderId="88" applyNumberFormat="0" applyAlignment="0" applyProtection="0"/>
    <xf numFmtId="0" fontId="16" fillId="4" borderId="88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22" fillId="0" borderId="66" applyNumberFormat="0" applyFill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9" fillId="13" borderId="124" applyNumberFormat="0" applyAlignment="0" applyProtection="0"/>
    <xf numFmtId="0" fontId="9" fillId="13" borderId="132" applyNumberForma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19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4" fillId="3" borderId="67" applyNumberFormat="0" applyFon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20" fillId="13" borderId="69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92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22" fillId="0" borderId="70" applyNumberFormat="0" applyFill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16" fillId="4" borderId="100" applyNumberForma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19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4" fillId="3" borderId="71" applyNumberFormat="0" applyFon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20" fillId="13" borderId="73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96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22" fillId="0" borderId="74" applyNumberFormat="0" applyFill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0" applyNumberFormat="0" applyAlignment="0" applyProtection="0"/>
    <xf numFmtId="0" fontId="9" fillId="13" borderId="132" applyNumberForma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19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4" fillId="3" borderId="75" applyNumberFormat="0" applyFon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20" fillId="13" borderId="77" applyNumberFormat="0" applyAlignment="0" applyProtection="0"/>
    <xf numFmtId="0" fontId="16" fillId="4" borderId="100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22" fillId="0" borderId="78" applyNumberFormat="0" applyFill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16" fillId="4" borderId="108" applyNumberForma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19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4" fillId="3" borderId="79" applyNumberFormat="0" applyFon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20" fillId="13" borderId="81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04" applyNumberFormat="0" applyAlignment="0" applyProtection="0"/>
    <xf numFmtId="0" fontId="16" fillId="4" borderId="112" applyNumberFormat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22" fillId="0" borderId="82" applyNumberFormat="0" applyFill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08" applyNumberForma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19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4" fillId="3" borderId="83" applyNumberFormat="0" applyFon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20" fillId="13" borderId="85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22" fillId="0" borderId="86" applyNumberFormat="0" applyFill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6" applyNumberFormat="0" applyAlignment="0" applyProtection="0"/>
    <xf numFmtId="0" fontId="16" fillId="4" borderId="112" applyNumberForma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19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4" fillId="3" borderId="87" applyNumberFormat="0" applyFon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20" fillId="13" borderId="89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12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22" fillId="0" borderId="90" applyNumberFormat="0" applyFill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16" applyNumberFormat="0" applyAlignment="0" applyProtection="0"/>
    <xf numFmtId="0" fontId="16" fillId="4" borderId="108" applyNumberFormat="0" applyAlignment="0" applyProtection="0"/>
    <xf numFmtId="0" fontId="16" fillId="4" borderId="116" applyNumberForma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19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4" fillId="3" borderId="91" applyNumberFormat="0" applyFon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20" fillId="13" borderId="93" applyNumberFormat="0" applyAlignment="0" applyProtection="0"/>
    <xf numFmtId="0" fontId="16" fillId="4" borderId="124" applyNumberFormat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22" fillId="0" borderId="94" applyNumberFormat="0" applyFill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19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4" fillId="3" borderId="95" applyNumberFormat="0" applyFon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20" fillId="13" borderId="97" applyNumberFormat="0" applyAlignment="0" applyProtection="0"/>
    <xf numFmtId="0" fontId="16" fillId="4" borderId="120" applyNumberFormat="0" applyAlignment="0" applyProtection="0"/>
    <xf numFmtId="0" fontId="16" fillId="4" borderId="120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22" fillId="0" borderId="98" applyNumberFormat="0" applyFill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16" fillId="4" borderId="128" applyNumberForma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19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4" fillId="3" borderId="99" applyNumberFormat="0" applyFon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20" fillId="13" borderId="101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24" applyNumberFormat="0" applyAlignment="0" applyProtection="0"/>
    <xf numFmtId="0" fontId="16" fillId="4" borderId="132" applyNumberFormat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22" fillId="0" borderId="102" applyNumberFormat="0" applyFill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28" applyNumberForma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19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4" fillId="3" borderId="103" applyNumberFormat="0" applyFon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0" fillId="13" borderId="105" applyNumberFormat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22" fillId="0" borderId="106" applyNumberFormat="0" applyFill="0" applyAlignment="0" applyProtection="0"/>
    <xf numFmtId="0" fontId="16" fillId="4" borderId="124" applyNumberForma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19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4" fillId="3" borderId="107" applyNumberFormat="0" applyFon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20" fillId="13" borderId="109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16" fillId="4" borderId="132" applyNumberFormat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22" fillId="0" borderId="110" applyNumberFormat="0" applyFill="0" applyAlignment="0" applyProtection="0"/>
    <xf numFmtId="0" fontId="16" fillId="4" borderId="128" applyNumberForma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19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4" fillId="3" borderId="111" applyNumberFormat="0" applyFon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0" fillId="13" borderId="113" applyNumberFormat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22" fillId="0" borderId="114" applyNumberFormat="0" applyFill="0" applyAlignment="0" applyProtection="0"/>
    <xf numFmtId="0" fontId="16" fillId="4" borderId="132" applyNumberFormat="0" applyAlignment="0" applyProtection="0"/>
    <xf numFmtId="0" fontId="16" fillId="4" borderId="124" applyNumberForma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19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4" fillId="3" borderId="115" applyNumberFormat="0" applyFon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0" fillId="13" borderId="117" applyNumberFormat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22" fillId="0" borderId="118" applyNumberFormat="0" applyFill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19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4" fillId="3" borderId="119" applyNumberFormat="0" applyFon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0" fillId="13" borderId="121" applyNumberFormat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22" fillId="0" borderId="122" applyNumberFormat="0" applyFill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19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4" fillId="3" borderId="123" applyNumberFormat="0" applyFon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0" fillId="13" borderId="125" applyNumberFormat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22" fillId="0" borderId="126" applyNumberFormat="0" applyFill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19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4" fillId="3" borderId="127" applyNumberFormat="0" applyFon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0" fillId="13" borderId="129" applyNumberFormat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22" fillId="0" borderId="130" applyNumberFormat="0" applyFill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19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4" fillId="3" borderId="131" applyNumberFormat="0" applyFon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0" fillId="13" borderId="133" applyNumberFormat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  <xf numFmtId="0" fontId="22" fillId="0" borderId="134" applyNumberFormat="0" applyFill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1" fontId="0" fillId="0" borderId="0" xfId="0" applyNumberFormat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/>
    </xf>
    <xf numFmtId="2" fontId="1" fillId="2" borderId="1" xfId="0" applyNumberFormat="1" applyFont="1" applyFill="1" applyBorder="1" applyAlignment="1">
      <alignment horizontal="right" vertical="top" wrapText="1" indent="1"/>
    </xf>
    <xf numFmtId="2" fontId="1" fillId="2" borderId="1" xfId="0" applyNumberFormat="1" applyFont="1" applyFill="1" applyBorder="1" applyAlignment="1">
      <alignment horizontal="right" vertical="top" wrapText="1"/>
    </xf>
    <xf numFmtId="0" fontId="27" fillId="0" borderId="0" xfId="0" applyFont="1" applyAlignment="1">
      <alignment horizontal="left" vertical="top"/>
    </xf>
    <xf numFmtId="0" fontId="29" fillId="0" borderId="0" xfId="0" applyFont="1" applyAlignment="1">
      <alignment vertical="center"/>
    </xf>
    <xf numFmtId="0" fontId="1" fillId="25" borderId="135" xfId="0" applyFont="1" applyFill="1" applyBorder="1" applyAlignment="1">
      <alignment horizontal="left" vertical="top" wrapText="1"/>
    </xf>
    <xf numFmtId="0" fontId="1" fillId="25" borderId="136" xfId="0" applyFont="1" applyFill="1" applyBorder="1" applyAlignment="1">
      <alignment horizontal="left" vertical="top"/>
    </xf>
    <xf numFmtId="0" fontId="1" fillId="25" borderId="136" xfId="0" applyFont="1" applyFill="1" applyBorder="1" applyAlignment="1">
      <alignment horizontal="right" vertical="top"/>
    </xf>
    <xf numFmtId="2" fontId="1" fillId="25" borderId="136" xfId="0" applyNumberFormat="1" applyFont="1" applyFill="1" applyBorder="1" applyAlignment="1">
      <alignment horizontal="right" vertical="top" wrapText="1"/>
    </xf>
    <xf numFmtId="2" fontId="1" fillId="25" borderId="136" xfId="0" applyNumberFormat="1" applyFont="1" applyFill="1" applyBorder="1" applyAlignment="1">
      <alignment horizontal="right" vertical="top" wrapText="1" indent="1"/>
    </xf>
    <xf numFmtId="0" fontId="28" fillId="0" borderId="0" xfId="0" applyFont="1"/>
  </cellXfs>
  <cellStyles count="3029">
    <cellStyle name="20% - Accent1 10" xfId="5" xr:uid="{5719FE0B-8305-444F-A0FB-78BFF6DBAA31}"/>
    <cellStyle name="20% - Accent1 11" xfId="6" xr:uid="{A9ACC82D-8D48-4F37-9384-CB44CEF8BF91}"/>
    <cellStyle name="20% - Accent1 12" xfId="7" xr:uid="{9AFD0C49-B5AA-459B-9230-26EFEA7462B5}"/>
    <cellStyle name="20% - Accent1 13" xfId="8" xr:uid="{EF8C91ED-63B5-447B-9986-20EA8D3841C1}"/>
    <cellStyle name="20% - Accent1 14" xfId="9" xr:uid="{70B4FB83-127E-405B-8052-0AA81F3B4615}"/>
    <cellStyle name="20% - Accent1 15" xfId="10" xr:uid="{80883E98-357E-422E-BC82-C17A627CF09E}"/>
    <cellStyle name="20% - Accent1 16" xfId="11" xr:uid="{641A8607-77A4-4BEB-9EDC-749A1E18FB5E}"/>
    <cellStyle name="20% - Accent1 2" xfId="12" xr:uid="{8F335DAE-8D7B-4DBA-B189-AD0592CC6014}"/>
    <cellStyle name="20% - Accent1 3" xfId="13" xr:uid="{81D1E208-540D-42A8-923B-8494BD49F70D}"/>
    <cellStyle name="20% - Accent1 4" xfId="14" xr:uid="{142CB72B-9B75-4ABE-B4E4-419A2477A013}"/>
    <cellStyle name="20% - Accent1 5" xfId="15" xr:uid="{03608179-11B4-47A3-A017-9891928CB62F}"/>
    <cellStyle name="20% - Accent1 6" xfId="16" xr:uid="{25DF3FC3-1566-4C85-8681-B76BDD252DAD}"/>
    <cellStyle name="20% - Accent1 7" xfId="17" xr:uid="{B4EAB7E2-0457-4CA7-83C3-DA27A11162FD}"/>
    <cellStyle name="20% - Accent1 8" xfId="18" xr:uid="{786CE641-9C27-4824-8F94-E22FC0EC8886}"/>
    <cellStyle name="20% - Accent1 9" xfId="19" xr:uid="{DA1E2FD1-FCF9-49D4-A627-04DBABFCEA25}"/>
    <cellStyle name="20% - Accent2 10" xfId="20" xr:uid="{C8F44BE7-701B-49DA-849D-A4832BFB3044}"/>
    <cellStyle name="20% - Accent2 11" xfId="21" xr:uid="{3015C91F-536E-4B11-A8E6-0F8035EA4673}"/>
    <cellStyle name="20% - Accent2 12" xfId="22" xr:uid="{032D027E-334D-464C-AA23-01767B646CB5}"/>
    <cellStyle name="20% - Accent2 13" xfId="23" xr:uid="{7DCA32A8-687C-41A8-9769-E0148905907C}"/>
    <cellStyle name="20% - Accent2 14" xfId="24" xr:uid="{AB30147E-C88E-45DE-A904-DDD971BA4023}"/>
    <cellStyle name="20% - Accent2 15" xfId="25" xr:uid="{98D60253-D081-45F1-B4E2-AC44E99A0C42}"/>
    <cellStyle name="20% - Accent2 16" xfId="26" xr:uid="{9ED48208-B1E5-4DDB-B3DB-4A217D283404}"/>
    <cellStyle name="20% - Accent2 2" xfId="27" xr:uid="{411A991D-F5E0-47D6-8019-F9FFECC86ED5}"/>
    <cellStyle name="20% - Accent2 3" xfId="28" xr:uid="{E5CA3CB0-D207-4EEA-86BF-5C749585E53D}"/>
    <cellStyle name="20% - Accent2 4" xfId="29" xr:uid="{589F392F-5675-45B5-A20A-2E5F20A262E7}"/>
    <cellStyle name="20% - Accent2 5" xfId="30" xr:uid="{CC7F6805-4EE6-495D-9EE6-E0EF76A4DC1C}"/>
    <cellStyle name="20% - Accent2 6" xfId="31" xr:uid="{C41C6C54-1796-4EAF-AEEC-B162C18ADAE2}"/>
    <cellStyle name="20% - Accent2 7" xfId="32" xr:uid="{66650614-EE62-4390-8FF6-E0A70558B151}"/>
    <cellStyle name="20% - Accent2 8" xfId="33" xr:uid="{EDA10B4F-5B64-41E0-B772-927AA9622147}"/>
    <cellStyle name="20% - Accent2 9" xfId="34" xr:uid="{563FE5BD-D40D-4E57-B47D-D842F839C904}"/>
    <cellStyle name="20% - Accent3 10" xfId="35" xr:uid="{C517F1A3-6497-4865-8EA3-2D894414952A}"/>
    <cellStyle name="20% - Accent3 11" xfId="36" xr:uid="{1025790E-4161-4AAE-87A9-92632B7988F3}"/>
    <cellStyle name="20% - Accent3 12" xfId="37" xr:uid="{DE4AC1F1-67A2-48BB-A4CD-DCA0B8F2C7B3}"/>
    <cellStyle name="20% - Accent3 13" xfId="38" xr:uid="{EFF03476-7146-44A7-861D-2565F4464570}"/>
    <cellStyle name="20% - Accent3 14" xfId="39" xr:uid="{72DD6423-46A4-40EB-8388-B2C3C0C1C2FA}"/>
    <cellStyle name="20% - Accent3 15" xfId="40" xr:uid="{0043A45B-A039-44EB-BEAB-6052C5F94C7E}"/>
    <cellStyle name="20% - Accent3 16" xfId="41" xr:uid="{FBF2DD0E-42F0-4E1F-BA87-1B0CC6D082F3}"/>
    <cellStyle name="20% - Accent3 2" xfId="42" xr:uid="{4A73E564-C6BE-42F4-8A7E-7103D4BD18ED}"/>
    <cellStyle name="20% - Accent3 3" xfId="43" xr:uid="{B0C76D4E-1D07-4C05-BC94-DBB4F9E0BF76}"/>
    <cellStyle name="20% - Accent3 4" xfId="44" xr:uid="{4C88BA6D-D931-4352-9F69-5C8C9FCAF181}"/>
    <cellStyle name="20% - Accent3 5" xfId="45" xr:uid="{4ADAB07B-E7E8-422B-B382-37DCA50BC7F3}"/>
    <cellStyle name="20% - Accent3 6" xfId="46" xr:uid="{E3A231C5-C356-4B1D-B829-A864F3830880}"/>
    <cellStyle name="20% - Accent3 7" xfId="47" xr:uid="{3606833D-7C80-4F12-8D75-41B828459198}"/>
    <cellStyle name="20% - Accent3 8" xfId="48" xr:uid="{BA8CC659-0550-4C96-B3C9-45A58B45A2D3}"/>
    <cellStyle name="20% - Accent3 9" xfId="49" xr:uid="{0795F306-70EC-480A-84CD-289817998417}"/>
    <cellStyle name="20% - Accent4 10" xfId="50" xr:uid="{EDED38CA-9330-4AAF-921C-048B436D9346}"/>
    <cellStyle name="20% - Accent4 11" xfId="51" xr:uid="{16D2C2CA-9E59-450D-A814-CA36A64EBFFA}"/>
    <cellStyle name="20% - Accent4 12" xfId="52" xr:uid="{987F9045-26F1-4794-88B3-816658D44D4D}"/>
    <cellStyle name="20% - Accent4 13" xfId="53" xr:uid="{164930B3-F893-4A42-A854-D6D84C5CC65B}"/>
    <cellStyle name="20% - Accent4 14" xfId="54" xr:uid="{5B1D7660-0A37-4B72-A085-22841F6BA14F}"/>
    <cellStyle name="20% - Accent4 15" xfId="55" xr:uid="{BD68AD03-3C51-4AD4-8D0B-58D536A22607}"/>
    <cellStyle name="20% - Accent4 16" xfId="56" xr:uid="{261FFF98-F48A-4601-9385-9409ECE54C6C}"/>
    <cellStyle name="20% - Accent4 2" xfId="57" xr:uid="{2F112477-0109-4D15-B3ED-82D200B6183F}"/>
    <cellStyle name="20% - Accent4 3" xfId="58" xr:uid="{A1F6D712-7DDD-4038-B6AC-00673F72AC5F}"/>
    <cellStyle name="20% - Accent4 4" xfId="59" xr:uid="{41B35B3F-61A1-4678-B09D-A7396FE21D2D}"/>
    <cellStyle name="20% - Accent4 5" xfId="60" xr:uid="{D6678C2F-7A26-4E4B-9E14-0D313123EFF7}"/>
    <cellStyle name="20% - Accent4 6" xfId="61" xr:uid="{FD5B4230-73E0-4702-99A3-45BC0A301762}"/>
    <cellStyle name="20% - Accent4 7" xfId="62" xr:uid="{56163F6F-A7A6-4F90-AED7-9301053FEA19}"/>
    <cellStyle name="20% - Accent4 8" xfId="63" xr:uid="{2DB04DDA-B505-480E-BD91-FC9503AB65EF}"/>
    <cellStyle name="20% - Accent4 9" xfId="64" xr:uid="{88453C4D-77EE-4BA3-827F-C1891C675E6A}"/>
    <cellStyle name="20% - Accent5 10" xfId="65" xr:uid="{A9D4D0E7-CBC2-4FCD-81FB-F5A06640AFDC}"/>
    <cellStyle name="20% - Accent5 11" xfId="66" xr:uid="{6F5B58A7-853D-4B94-8098-FDBE8D9DA7B2}"/>
    <cellStyle name="20% - Accent5 12" xfId="67" xr:uid="{CA217E39-797B-40F0-AB77-F582A51D4235}"/>
    <cellStyle name="20% - Accent5 13" xfId="68" xr:uid="{A2C91CBF-4041-4AB7-9CA2-78B550AFD231}"/>
    <cellStyle name="20% - Accent5 14" xfId="69" xr:uid="{56344778-2875-4526-94D3-A017FD495EDB}"/>
    <cellStyle name="20% - Accent5 15" xfId="70" xr:uid="{F9720954-0CAB-49F1-9E08-9EBA4FA887FB}"/>
    <cellStyle name="20% - Accent5 16" xfId="71" xr:uid="{FD1F33AE-C126-499C-8D42-0FB33D4FE19D}"/>
    <cellStyle name="20% - Accent5 2" xfId="72" xr:uid="{F35C5221-C5AE-41F0-B6AA-B621BA50C186}"/>
    <cellStyle name="20% - Accent5 3" xfId="73" xr:uid="{DA75A7F8-23E5-4053-B8A8-D8A5A2FA1F6C}"/>
    <cellStyle name="20% - Accent5 4" xfId="74" xr:uid="{3C16C163-7CD8-4A4B-897A-A58343EBE930}"/>
    <cellStyle name="20% - Accent5 5" xfId="75" xr:uid="{3EB07362-C655-437B-8645-3389A57DE6E4}"/>
    <cellStyle name="20% - Accent5 6" xfId="76" xr:uid="{5C066DAA-FA1E-48F5-BDA5-A0D189590968}"/>
    <cellStyle name="20% - Accent5 7" xfId="77" xr:uid="{AD250700-F9BD-4D02-AE21-7C7A63058B48}"/>
    <cellStyle name="20% - Accent5 8" xfId="78" xr:uid="{9AEA31D0-2BFE-4BA5-8BFA-69BEF9D819DF}"/>
    <cellStyle name="20% - Accent5 9" xfId="79" xr:uid="{FD056869-98E3-40E5-A424-F5027B7B66D6}"/>
    <cellStyle name="20% - Accent6 10" xfId="80" xr:uid="{97FFE380-9EFE-4C86-80D4-CFC945614035}"/>
    <cellStyle name="20% - Accent6 11" xfId="81" xr:uid="{233B745F-00AF-42B8-B5B7-C8C9D355888E}"/>
    <cellStyle name="20% - Accent6 12" xfId="82" xr:uid="{5B3290DC-AF06-4DC1-BF8B-A96EC4AA28DE}"/>
    <cellStyle name="20% - Accent6 13" xfId="83" xr:uid="{36D2B0DD-5228-4E47-B0CB-18A73BBD8A2A}"/>
    <cellStyle name="20% - Accent6 14" xfId="84" xr:uid="{3369E4BD-717F-44C6-B08B-18EB5444C3C3}"/>
    <cellStyle name="20% - Accent6 15" xfId="85" xr:uid="{8890238D-65F1-40AE-B5D8-20DCD69E26E9}"/>
    <cellStyle name="20% - Accent6 16" xfId="86" xr:uid="{414EBD42-B193-45F8-AAB4-B36116EA02A7}"/>
    <cellStyle name="20% - Accent6 2" xfId="87" xr:uid="{4D500027-A20C-4A0B-9F85-2AE49717FC4F}"/>
    <cellStyle name="20% - Accent6 3" xfId="88" xr:uid="{0B456268-38C9-4484-B7AC-3F58593C9F0B}"/>
    <cellStyle name="20% - Accent6 4" xfId="89" xr:uid="{26E228C8-E94B-493C-9FFF-01C638660621}"/>
    <cellStyle name="20% - Accent6 5" xfId="90" xr:uid="{C90D89F9-7A80-402A-80CC-FBA14003A589}"/>
    <cellStyle name="20% - Accent6 6" xfId="91" xr:uid="{E05E4D9A-6E30-4FA4-B48A-90338C31C476}"/>
    <cellStyle name="20% - Accent6 7" xfId="92" xr:uid="{794B3892-7DC8-4078-8CC7-83E516BA739B}"/>
    <cellStyle name="20% - Accent6 8" xfId="93" xr:uid="{8119E2E3-7456-47E8-8182-7967FBBFDE4B}"/>
    <cellStyle name="20% - Accent6 9" xfId="94" xr:uid="{890048E1-4499-45FA-BC56-80266DD3DAE9}"/>
    <cellStyle name="40% - Accent1 10" xfId="95" xr:uid="{D68292E8-1651-4B67-A2E8-229A3EB9024D}"/>
    <cellStyle name="40% - Accent1 11" xfId="96" xr:uid="{E208EC87-279F-4DFE-836F-279724A9566A}"/>
    <cellStyle name="40% - Accent1 12" xfId="97" xr:uid="{5DC64C72-4252-4C54-834A-1FF41A41AA2E}"/>
    <cellStyle name="40% - Accent1 13" xfId="98" xr:uid="{154FEE6A-76AC-4201-B8A8-E74199FDF0F1}"/>
    <cellStyle name="40% - Accent1 14" xfId="99" xr:uid="{FBA11631-256E-4BBC-91B9-FA3486F56413}"/>
    <cellStyle name="40% - Accent1 15" xfId="100" xr:uid="{7BEE34C4-B3A4-4400-8101-35C6579CBBC1}"/>
    <cellStyle name="40% - Accent1 16" xfId="101" xr:uid="{628F418A-C183-4E34-9CF4-50727141FE96}"/>
    <cellStyle name="40% - Accent1 2" xfId="102" xr:uid="{C3191467-E74D-48BF-A0C2-CBA0F70A994C}"/>
    <cellStyle name="40% - Accent1 3" xfId="103" xr:uid="{1C94DF75-BF3B-4E22-9008-A43AF08F35C0}"/>
    <cellStyle name="40% - Accent1 4" xfId="104" xr:uid="{38CBE10D-DA83-4FB4-90BB-3A10B6C1CAA6}"/>
    <cellStyle name="40% - Accent1 5" xfId="105" xr:uid="{AAF65AB2-49AD-4BDB-AD6C-77D0B3CE3773}"/>
    <cellStyle name="40% - Accent1 6" xfId="106" xr:uid="{828BCDA1-6963-4A5A-8814-1AADFFF9409B}"/>
    <cellStyle name="40% - Accent1 7" xfId="107" xr:uid="{B76A736D-C474-4582-8F9D-7C5BF0862F7B}"/>
    <cellStyle name="40% - Accent1 8" xfId="108" xr:uid="{51863415-8D50-4D5F-AD35-A30B4F9A82BD}"/>
    <cellStyle name="40% - Accent1 9" xfId="109" xr:uid="{951DFD3F-652D-4821-A483-B3792BFAD3BC}"/>
    <cellStyle name="40% - Accent2 10" xfId="110" xr:uid="{3B78B3FB-FB5C-417A-9AD0-D3707FDE5CED}"/>
    <cellStyle name="40% - Accent2 11" xfId="111" xr:uid="{E0B1FCFC-7F29-44AB-B243-22996A63EE7B}"/>
    <cellStyle name="40% - Accent2 12" xfId="112" xr:uid="{D6FC2374-5A2D-427E-88C2-284A615E1BA4}"/>
    <cellStyle name="40% - Accent2 13" xfId="113" xr:uid="{4F6C085D-4232-4031-8A01-12C871F67989}"/>
    <cellStyle name="40% - Accent2 14" xfId="114" xr:uid="{1C292D15-E913-4241-9EE5-E18054E75FA0}"/>
    <cellStyle name="40% - Accent2 15" xfId="115" xr:uid="{6A1171F6-3FD4-4510-9735-19E5A12FD189}"/>
    <cellStyle name="40% - Accent2 16" xfId="116" xr:uid="{E1189EC9-C7C1-424B-AFB0-B2FF99ACA515}"/>
    <cellStyle name="40% - Accent2 2" xfId="117" xr:uid="{AC0CCC2A-B76B-4ACF-99A8-682B1F2A32AF}"/>
    <cellStyle name="40% - Accent2 3" xfId="118" xr:uid="{3BB4B108-DDC1-4BF6-92C7-025D720B4FC9}"/>
    <cellStyle name="40% - Accent2 4" xfId="119" xr:uid="{F593C886-3F89-42B1-8ADC-18606F84C929}"/>
    <cellStyle name="40% - Accent2 5" xfId="120" xr:uid="{C04BBCDC-8AB2-4CD9-AF22-2D2973F1EDB2}"/>
    <cellStyle name="40% - Accent2 6" xfId="121" xr:uid="{89EB67F7-1404-4BE1-BFA8-5DB8FF40ED35}"/>
    <cellStyle name="40% - Accent2 7" xfId="122" xr:uid="{4E4D464E-F7B0-4FF2-B2FF-B8FB49C4EFBD}"/>
    <cellStyle name="40% - Accent2 8" xfId="123" xr:uid="{E60D5698-B71C-4113-909A-1287A7BC264E}"/>
    <cellStyle name="40% - Accent2 9" xfId="124" xr:uid="{33485324-EF95-402A-9FF9-3B0CAA877801}"/>
    <cellStyle name="40% - Accent3 10" xfId="125" xr:uid="{16B00A8F-62F3-47C8-9F68-3797495C3322}"/>
    <cellStyle name="40% - Accent3 11" xfId="126" xr:uid="{55E5F111-131F-4E42-A4AF-3B302C16C7A0}"/>
    <cellStyle name="40% - Accent3 12" xfId="127" xr:uid="{2050F937-D70B-427C-BC52-870426AE7A95}"/>
    <cellStyle name="40% - Accent3 13" xfId="128" xr:uid="{96D96FFB-5EFF-46BE-A6C6-1972E357FFCD}"/>
    <cellStyle name="40% - Accent3 14" xfId="129" xr:uid="{FB092F25-1CB6-4BCD-B5DE-72A03F124D2E}"/>
    <cellStyle name="40% - Accent3 15" xfId="130" xr:uid="{E8D39765-71CE-42A4-A6A0-90D89CFACA95}"/>
    <cellStyle name="40% - Accent3 16" xfId="131" xr:uid="{12EC5213-750D-498E-BF2D-D9B4956EAE48}"/>
    <cellStyle name="40% - Accent3 2" xfId="132" xr:uid="{237718F1-5A7B-44D6-A92D-9FFF07D96F47}"/>
    <cellStyle name="40% - Accent3 3" xfId="133" xr:uid="{259AD95E-4532-4437-B50C-F39B3DF9FEFE}"/>
    <cellStyle name="40% - Accent3 4" xfId="134" xr:uid="{A4A9B2DB-AB8C-4399-982A-2369FF1EEC84}"/>
    <cellStyle name="40% - Accent3 5" xfId="135" xr:uid="{5837E377-75BF-4540-92A6-11565A954531}"/>
    <cellStyle name="40% - Accent3 6" xfId="136" xr:uid="{2518203C-C1A9-418D-AC6D-A579350EC677}"/>
    <cellStyle name="40% - Accent3 7" xfId="137" xr:uid="{79805B3A-C140-49C0-A151-3702FC517766}"/>
    <cellStyle name="40% - Accent3 8" xfId="138" xr:uid="{6265D223-2A26-4BD6-9EC7-E7502AF55DCB}"/>
    <cellStyle name="40% - Accent3 9" xfId="139" xr:uid="{F7B4EBFD-D45D-4E5C-90BA-ED1EAD80ECD4}"/>
    <cellStyle name="40% - Accent4 10" xfId="140" xr:uid="{60ED614F-CEA5-42B5-896E-256A676C787D}"/>
    <cellStyle name="40% - Accent4 11" xfId="141" xr:uid="{AA4C81FF-E4D4-4420-ABEE-36A047190884}"/>
    <cellStyle name="40% - Accent4 12" xfId="142" xr:uid="{BDCE1DAF-0F52-4EF1-A7A8-EF057FA07810}"/>
    <cellStyle name="40% - Accent4 13" xfId="143" xr:uid="{3231BC65-5364-4848-B5F1-19575C73C062}"/>
    <cellStyle name="40% - Accent4 14" xfId="144" xr:uid="{A86F1E7E-9597-40F1-BA72-C499EF28B688}"/>
    <cellStyle name="40% - Accent4 15" xfId="145" xr:uid="{52852ED8-5624-44F8-9AE5-1AAC8EC54961}"/>
    <cellStyle name="40% - Accent4 16" xfId="146" xr:uid="{BF3C4A7F-AC56-4FD2-9D00-EE73800FBCFB}"/>
    <cellStyle name="40% - Accent4 2" xfId="147" xr:uid="{BDE268FA-F0E0-4980-9211-1EA369E5A372}"/>
    <cellStyle name="40% - Accent4 3" xfId="148" xr:uid="{726B458F-11BB-4D70-BA92-05C93570C3C1}"/>
    <cellStyle name="40% - Accent4 4" xfId="149" xr:uid="{FF928F17-627C-4D2E-9B37-65E52D502CC9}"/>
    <cellStyle name="40% - Accent4 5" xfId="150" xr:uid="{72912AD4-3328-49C7-A9AF-629D44894194}"/>
    <cellStyle name="40% - Accent4 6" xfId="151" xr:uid="{C813E022-597E-491C-BB43-828A522380C9}"/>
    <cellStyle name="40% - Accent4 7" xfId="152" xr:uid="{08327A34-A671-4FD9-AEE3-383BAE9BA77B}"/>
    <cellStyle name="40% - Accent4 8" xfId="153" xr:uid="{480CC539-442C-4E2B-9D5C-5383480AC748}"/>
    <cellStyle name="40% - Accent4 9" xfId="154" xr:uid="{13D7FBBB-2AE9-4B56-930A-E6784DF5E995}"/>
    <cellStyle name="40% - Accent5 10" xfId="155" xr:uid="{B80F1931-EE87-4E49-B7BF-22B0CF762B3C}"/>
    <cellStyle name="40% - Accent5 11" xfId="156" xr:uid="{6D49C545-CB00-4724-AA14-A63CE2B8A70A}"/>
    <cellStyle name="40% - Accent5 12" xfId="157" xr:uid="{C1932737-3E23-4256-A72B-8D86F00D74D4}"/>
    <cellStyle name="40% - Accent5 13" xfId="158" xr:uid="{4149E297-8C50-414D-B294-2F9F90F9AC49}"/>
    <cellStyle name="40% - Accent5 14" xfId="159" xr:uid="{CF2E2E05-ADC4-4B52-9205-3A4FC36B3B8D}"/>
    <cellStyle name="40% - Accent5 15" xfId="160" xr:uid="{B51BB628-D5DB-4164-9BFF-5D4C7669F7A7}"/>
    <cellStyle name="40% - Accent5 16" xfId="161" xr:uid="{C6C45FD7-CD54-4EEC-A2D1-1EF98B5D9D83}"/>
    <cellStyle name="40% - Accent5 2" xfId="162" xr:uid="{7C0A9F93-D401-40EB-B04D-0AB7451F30F5}"/>
    <cellStyle name="40% - Accent5 3" xfId="163" xr:uid="{91CF7BD4-F80F-4DAE-AFF5-057862471D0F}"/>
    <cellStyle name="40% - Accent5 4" xfId="164" xr:uid="{11DB47E5-E6DE-4E54-809D-092E2E043FC6}"/>
    <cellStyle name="40% - Accent5 5" xfId="165" xr:uid="{4D2D8EDB-165A-407C-BE36-5D7332D96AEE}"/>
    <cellStyle name="40% - Accent5 6" xfId="166" xr:uid="{8F4CF6CC-53C0-4D4A-86F3-44751909B6FC}"/>
    <cellStyle name="40% - Accent5 7" xfId="167" xr:uid="{0F1F1DCB-A2BA-478A-84FB-FBBA52B4DE6D}"/>
    <cellStyle name="40% - Accent5 8" xfId="168" xr:uid="{B22983C0-8FF3-430C-BFAE-72611AF5CA63}"/>
    <cellStyle name="40% - Accent5 9" xfId="169" xr:uid="{7AA26399-277F-4918-A1AC-CD7F1404CBAE}"/>
    <cellStyle name="40% - Accent6 10" xfId="170" xr:uid="{3142F95D-BEB7-4E4F-9283-2AE18A30DDE8}"/>
    <cellStyle name="40% - Accent6 11" xfId="171" xr:uid="{18D97AB7-1AB8-497F-A39A-C5778B151EB1}"/>
    <cellStyle name="40% - Accent6 12" xfId="172" xr:uid="{35441B18-4BF0-49F2-8328-FFA167E72032}"/>
    <cellStyle name="40% - Accent6 13" xfId="173" xr:uid="{8FEE9CB8-4CD1-486B-AEF6-2B40BE9EDFAF}"/>
    <cellStyle name="40% - Accent6 14" xfId="174" xr:uid="{15FDE2DB-170E-4C30-A94D-AE0DDF774CD1}"/>
    <cellStyle name="40% - Accent6 15" xfId="175" xr:uid="{2262E5C3-9397-4D78-9070-07A3C538847C}"/>
    <cellStyle name="40% - Accent6 16" xfId="176" xr:uid="{14D1C9A3-3D09-4D32-A8A2-1DAD6879F6D7}"/>
    <cellStyle name="40% - Accent6 2" xfId="177" xr:uid="{BE109131-8E6F-422E-9F67-9AAA6A7C5C17}"/>
    <cellStyle name="40% - Accent6 3" xfId="178" xr:uid="{0CDAB904-7B8F-47D9-A02E-0315AD05D152}"/>
    <cellStyle name="40% - Accent6 4" xfId="179" xr:uid="{2EFAB53E-B3EF-48F7-ADA6-1187C548C631}"/>
    <cellStyle name="40% - Accent6 5" xfId="180" xr:uid="{AD5AB1A9-D9AC-4F47-92B2-AF5507EC25F9}"/>
    <cellStyle name="40% - Accent6 6" xfId="181" xr:uid="{36ABD0E0-16C0-4FCF-96D3-11E9404E3C42}"/>
    <cellStyle name="40% - Accent6 7" xfId="182" xr:uid="{270E75E6-7224-4D45-82F5-7E53A46FC79C}"/>
    <cellStyle name="40% - Accent6 8" xfId="183" xr:uid="{6BF7F9BD-71E1-4E78-B822-286ED11E347F}"/>
    <cellStyle name="40% - Accent6 9" xfId="184" xr:uid="{EDC16B1F-E9F8-48E6-96BC-DB0821B3082C}"/>
    <cellStyle name="60% - Accent1 10" xfId="185" xr:uid="{3E1107DE-943D-436E-8A67-44244E57188B}"/>
    <cellStyle name="60% - Accent1 11" xfId="186" xr:uid="{2DBCBF6D-3088-4EDE-A4AA-3DC6F0A71126}"/>
    <cellStyle name="60% - Accent1 12" xfId="187" xr:uid="{8663E505-F5F2-4678-89BB-7376C110E44F}"/>
    <cellStyle name="60% - Accent1 13" xfId="188" xr:uid="{FD8C2D07-F48F-42E5-A4BA-EEAE74FE1039}"/>
    <cellStyle name="60% - Accent1 14" xfId="189" xr:uid="{FC45C6B4-7D11-4300-86A0-0E4C52625BC5}"/>
    <cellStyle name="60% - Accent1 15" xfId="190" xr:uid="{80EDB8C5-4D1D-4F3E-A878-C8BB71C9120D}"/>
    <cellStyle name="60% - Accent1 16" xfId="191" xr:uid="{5E719353-9456-4A34-A761-BA075C41BB3D}"/>
    <cellStyle name="60% - Accent1 2" xfId="192" xr:uid="{B4AF4906-B20A-4C13-93E7-B9A6F29AEF1D}"/>
    <cellStyle name="60% - Accent1 3" xfId="193" xr:uid="{CA219AB6-E823-4B17-9A73-4F75775A8FF6}"/>
    <cellStyle name="60% - Accent1 4" xfId="194" xr:uid="{F0BE238D-E02C-4FBE-8A2E-E405CE7BFFDD}"/>
    <cellStyle name="60% - Accent1 5" xfId="195" xr:uid="{14B57F7A-2278-489F-8426-5323D3F28EB2}"/>
    <cellStyle name="60% - Accent1 6" xfId="196" xr:uid="{D727998C-3D87-4AF3-BCD4-3771E79D4E28}"/>
    <cellStyle name="60% - Accent1 7" xfId="197" xr:uid="{E56E5DAC-3582-4658-9B4A-AC1B3B49665A}"/>
    <cellStyle name="60% - Accent1 8" xfId="198" xr:uid="{664A75F2-2855-4E6D-BAEA-A6C22C37B027}"/>
    <cellStyle name="60% - Accent1 9" xfId="199" xr:uid="{E6E61714-0E6D-4701-A3BA-A5320EA23B6D}"/>
    <cellStyle name="60% - Accent2 10" xfId="200" xr:uid="{EB4DD392-18F2-4B84-8623-157A46541D9D}"/>
    <cellStyle name="60% - Accent2 11" xfId="201" xr:uid="{B5312828-9E37-4ACD-AC69-621C28BCE636}"/>
    <cellStyle name="60% - Accent2 12" xfId="202" xr:uid="{43897DAC-7B31-495B-A313-BA76712D318D}"/>
    <cellStyle name="60% - Accent2 13" xfId="203" xr:uid="{3BE5B911-FC2C-41F7-B141-D3A7AF7FE916}"/>
    <cellStyle name="60% - Accent2 14" xfId="204" xr:uid="{9DC737D8-1D13-4DE6-8283-6FF86CF90A45}"/>
    <cellStyle name="60% - Accent2 15" xfId="205" xr:uid="{ABCBEF78-88FF-4F69-9CBF-5C4FF3D3216A}"/>
    <cellStyle name="60% - Accent2 16" xfId="206" xr:uid="{BFC28364-2F7E-4469-9696-7784E6CB670A}"/>
    <cellStyle name="60% - Accent2 2" xfId="207" xr:uid="{B0273F99-72BE-4269-9CB4-A36BCB26F5EF}"/>
    <cellStyle name="60% - Accent2 3" xfId="208" xr:uid="{A9CBBA8F-8B63-459A-A91C-F875A4664E85}"/>
    <cellStyle name="60% - Accent2 4" xfId="209" xr:uid="{92AA0083-0DB0-4B79-834D-1351DBE961BA}"/>
    <cellStyle name="60% - Accent2 5" xfId="210" xr:uid="{E0943C68-D363-48AA-B46C-71BE5A38AC47}"/>
    <cellStyle name="60% - Accent2 6" xfId="211" xr:uid="{7FF328B9-C6E8-4F8A-B8C1-07ECF2BF6495}"/>
    <cellStyle name="60% - Accent2 7" xfId="212" xr:uid="{8552783E-78FB-467D-9117-304ABE4351C3}"/>
    <cellStyle name="60% - Accent2 8" xfId="213" xr:uid="{0FECAB84-1CF5-4070-A136-341868AD71FD}"/>
    <cellStyle name="60% - Accent2 9" xfId="214" xr:uid="{38E56A10-DFD5-40D8-B6EE-70C7BC64938B}"/>
    <cellStyle name="60% - Accent3 10" xfId="215" xr:uid="{C0DDC7F7-F8B3-464A-A905-ADD2D847FBCA}"/>
    <cellStyle name="60% - Accent3 11" xfId="216" xr:uid="{5DA634CF-F668-47C4-9041-FD8F5C781120}"/>
    <cellStyle name="60% - Accent3 12" xfId="217" xr:uid="{E1DC0FC2-AE19-4FAB-BF90-F005BFF55814}"/>
    <cellStyle name="60% - Accent3 13" xfId="218" xr:uid="{31AF11BA-5AC3-4CC4-96CC-4855597E7F34}"/>
    <cellStyle name="60% - Accent3 14" xfId="219" xr:uid="{100D85B2-5330-43D9-ABA7-9080BEE4998B}"/>
    <cellStyle name="60% - Accent3 15" xfId="220" xr:uid="{C8F8CDD5-B4AF-47EA-85A1-16C3901B2787}"/>
    <cellStyle name="60% - Accent3 16" xfId="221" xr:uid="{F22BE781-98C4-449C-9774-334B15B1F7FD}"/>
    <cellStyle name="60% - Accent3 2" xfId="222" xr:uid="{D4430300-3D1F-4FDE-B5DD-B9865E28889E}"/>
    <cellStyle name="60% - Accent3 3" xfId="223" xr:uid="{77B08088-6416-40A4-8D58-071B743ABDF4}"/>
    <cellStyle name="60% - Accent3 4" xfId="224" xr:uid="{67CF298B-0971-40DC-BE2B-554BC30CC028}"/>
    <cellStyle name="60% - Accent3 5" xfId="225" xr:uid="{4C7E956D-100D-4452-B33C-3A57F54D55B3}"/>
    <cellStyle name="60% - Accent3 6" xfId="226" xr:uid="{29F84F5B-C444-4672-9846-88DDA2878856}"/>
    <cellStyle name="60% - Accent3 7" xfId="227" xr:uid="{3DBDBAE0-CBBE-43BF-989E-F4BA46223E75}"/>
    <cellStyle name="60% - Accent3 8" xfId="228" xr:uid="{6CA2C2FC-56D1-4122-B537-E8F807D0FDB5}"/>
    <cellStyle name="60% - Accent3 9" xfId="229" xr:uid="{469CDE37-AD3D-4E98-BB58-B45F1A65FADA}"/>
    <cellStyle name="60% - Accent4 10" xfId="230" xr:uid="{37C1124E-E040-4ECA-806A-275D3044A36F}"/>
    <cellStyle name="60% - Accent4 11" xfId="231" xr:uid="{A07500FB-F95D-4F32-B4B0-D6A7A9AC5E9A}"/>
    <cellStyle name="60% - Accent4 12" xfId="232" xr:uid="{D8048D76-029B-45A8-AC07-029536204B5D}"/>
    <cellStyle name="60% - Accent4 13" xfId="233" xr:uid="{92DDE705-9454-48E0-83C2-6585444A929F}"/>
    <cellStyle name="60% - Accent4 14" xfId="234" xr:uid="{FE57449C-1A94-46CF-BE37-7B4C61CFDB0B}"/>
    <cellStyle name="60% - Accent4 15" xfId="235" xr:uid="{662B7FA0-9F53-4357-AE7B-906528862298}"/>
    <cellStyle name="60% - Accent4 16" xfId="236" xr:uid="{597B28F3-4A09-4BB9-B339-B46D19D60EAD}"/>
    <cellStyle name="60% - Accent4 2" xfId="237" xr:uid="{D40DCBDD-DE07-41D8-98EB-D7D61295484B}"/>
    <cellStyle name="60% - Accent4 3" xfId="238" xr:uid="{B49D4805-13D1-49EF-BFC8-758A27C8CC1B}"/>
    <cellStyle name="60% - Accent4 4" xfId="239" xr:uid="{305C0C15-88DE-46E8-AC6C-ACEC7FAD1AEF}"/>
    <cellStyle name="60% - Accent4 5" xfId="240" xr:uid="{0F4B772A-3417-4BAE-9AFF-1504E87A156B}"/>
    <cellStyle name="60% - Accent4 6" xfId="241" xr:uid="{6D421F5F-54F7-4BA0-9041-53B56BD724E0}"/>
    <cellStyle name="60% - Accent4 7" xfId="242" xr:uid="{55D77838-AA2B-400C-BC18-D49407A56682}"/>
    <cellStyle name="60% - Accent4 8" xfId="243" xr:uid="{6EA07BA7-1FDE-4990-9E67-BCF9CCE96F67}"/>
    <cellStyle name="60% - Accent4 9" xfId="244" xr:uid="{266FA601-3A1F-4A95-8807-C776289F6E07}"/>
    <cellStyle name="60% - Accent5 10" xfId="245" xr:uid="{D6B13B63-1C8C-457F-AFB1-3CF4A459E8BB}"/>
    <cellStyle name="60% - Accent5 11" xfId="246" xr:uid="{CA103C89-4F71-4273-A7A6-105CF086F984}"/>
    <cellStyle name="60% - Accent5 12" xfId="247" xr:uid="{9452E78E-84BA-492A-A068-4D8987BCEB99}"/>
    <cellStyle name="60% - Accent5 13" xfId="248" xr:uid="{40D5BA03-AD0D-43E3-A4F9-91E6296740CC}"/>
    <cellStyle name="60% - Accent5 14" xfId="249" xr:uid="{F1B58D99-53BE-4E6C-8F1A-A3A898D11E1B}"/>
    <cellStyle name="60% - Accent5 15" xfId="250" xr:uid="{DDA0E456-BF36-4AF3-90E4-1E4159A2EB71}"/>
    <cellStyle name="60% - Accent5 16" xfId="251" xr:uid="{343D2540-E302-4084-823C-12A35D85281D}"/>
    <cellStyle name="60% - Accent5 2" xfId="252" xr:uid="{BA2C8170-A08E-4428-9730-C5B38740CE5B}"/>
    <cellStyle name="60% - Accent5 3" xfId="253" xr:uid="{CE1FF7FD-9DE6-4CD2-9D1B-F4A0D3C32950}"/>
    <cellStyle name="60% - Accent5 4" xfId="254" xr:uid="{4286CEEF-2D06-4CC0-99C4-0C859D89DDE5}"/>
    <cellStyle name="60% - Accent5 5" xfId="255" xr:uid="{9D2E11D3-9177-4977-9AEB-D98F5545BDCD}"/>
    <cellStyle name="60% - Accent5 6" xfId="256" xr:uid="{ECFC4530-6B3B-4D82-8132-A63756FA4ECB}"/>
    <cellStyle name="60% - Accent5 7" xfId="257" xr:uid="{4A749D59-F735-4DD3-9D1F-6617476672F2}"/>
    <cellStyle name="60% - Accent5 8" xfId="258" xr:uid="{AB134AB1-EFAF-4C99-89E7-AAB94B648910}"/>
    <cellStyle name="60% - Accent5 9" xfId="259" xr:uid="{A6761FA3-32C5-4877-891E-468B5396279F}"/>
    <cellStyle name="60% - Accent6 10" xfId="260" xr:uid="{4CE83AFE-FC28-429F-B2A9-AC2C85E4BE36}"/>
    <cellStyle name="60% - Accent6 11" xfId="261" xr:uid="{72851ABE-EC6B-4728-8F88-EEB40FB79B06}"/>
    <cellStyle name="60% - Accent6 12" xfId="262" xr:uid="{C3C1B329-2BFA-49A7-A36A-1588B25E46A6}"/>
    <cellStyle name="60% - Accent6 13" xfId="263" xr:uid="{69263A54-2EE5-4E84-B2CA-5E54CB3C6EBF}"/>
    <cellStyle name="60% - Accent6 14" xfId="264" xr:uid="{9D056CE3-2571-44B4-842C-DF34770E2EE0}"/>
    <cellStyle name="60% - Accent6 15" xfId="265" xr:uid="{FDCF2FBA-C039-473E-80D7-C5F0E040941A}"/>
    <cellStyle name="60% - Accent6 16" xfId="266" xr:uid="{59286F7B-78D1-469A-A4AB-EF3B64E60DFE}"/>
    <cellStyle name="60% - Accent6 2" xfId="267" xr:uid="{64734831-E431-4D8D-A397-85BEA56DEC73}"/>
    <cellStyle name="60% - Accent6 3" xfId="268" xr:uid="{D77A7CA5-FC49-471B-9C7A-7F9C178CF367}"/>
    <cellStyle name="60% - Accent6 4" xfId="269" xr:uid="{78CB1C9A-EADB-4739-8828-21C3646EA858}"/>
    <cellStyle name="60% - Accent6 5" xfId="270" xr:uid="{CB0F298F-40DF-43C9-A61A-C8FBE1FED9B8}"/>
    <cellStyle name="60% - Accent6 6" xfId="271" xr:uid="{5E288A3A-B705-4321-AE67-1A6B899885CC}"/>
    <cellStyle name="60% - Accent6 7" xfId="272" xr:uid="{4AC4DABD-7A8A-4349-9C18-E0991251EE47}"/>
    <cellStyle name="60% - Accent6 8" xfId="273" xr:uid="{90B5324B-837D-40D1-AEDB-CAEAD35E9825}"/>
    <cellStyle name="60% - Accent6 9" xfId="274" xr:uid="{709CB0E8-C648-4468-8D89-3729A8BECA14}"/>
    <cellStyle name="Accent1 10" xfId="275" xr:uid="{E0441FEB-0127-4F47-BE8B-07A8A484CEFC}"/>
    <cellStyle name="Accent1 11" xfId="276" xr:uid="{032FAA32-35D6-4772-ADC6-2533F17CC593}"/>
    <cellStyle name="Accent1 12" xfId="277" xr:uid="{221723F8-3E4A-4EBC-9C6F-C0A94A32A997}"/>
    <cellStyle name="Accent1 13" xfId="278" xr:uid="{B6597E9D-A502-4609-97E1-357BC045F839}"/>
    <cellStyle name="Accent1 14" xfId="279" xr:uid="{FFD60630-81CC-42A8-8835-4F691801FAA2}"/>
    <cellStyle name="Accent1 15" xfId="280" xr:uid="{9AC04A35-E09A-4014-AAF5-47CA75726856}"/>
    <cellStyle name="Accent1 16" xfId="281" xr:uid="{3839E964-337B-4E71-A726-170BA0E97DEF}"/>
    <cellStyle name="Accent1 2" xfId="282" xr:uid="{4D3AD43A-EE1C-4590-8A7C-9E2549347F62}"/>
    <cellStyle name="Accent1 3" xfId="283" xr:uid="{4C1938A9-660B-4A7D-819E-D10E65140AA9}"/>
    <cellStyle name="Accent1 4" xfId="284" xr:uid="{8426EEE7-A10A-4EFB-8CC9-E3008B172C47}"/>
    <cellStyle name="Accent1 5" xfId="285" xr:uid="{EFEBA5CE-385E-4100-9867-AD951A1BDE93}"/>
    <cellStyle name="Accent1 6" xfId="286" xr:uid="{5E190FCC-14BC-4F73-926F-3A15E631B2DA}"/>
    <cellStyle name="Accent1 7" xfId="287" xr:uid="{10779B3E-6C18-4B49-95E3-5733E200FF60}"/>
    <cellStyle name="Accent1 8" xfId="288" xr:uid="{AF462E96-B48C-4FFC-8FFF-F4CA3B10F9BB}"/>
    <cellStyle name="Accent1 9" xfId="289" xr:uid="{11BBBC3B-1B55-44CD-A0BF-3B3A098AD0A6}"/>
    <cellStyle name="Accent2 10" xfId="290" xr:uid="{D0A7210C-F3BB-453D-B2A2-1B529E83D557}"/>
    <cellStyle name="Accent2 11" xfId="291" xr:uid="{C9D64421-E3C9-4385-9A35-79F9F7857322}"/>
    <cellStyle name="Accent2 12" xfId="292" xr:uid="{E24FCEDE-B28B-44B8-905F-65F262D5901E}"/>
    <cellStyle name="Accent2 13" xfId="293" xr:uid="{F3D4C18A-22D2-4E7F-B163-92A219BD5530}"/>
    <cellStyle name="Accent2 14" xfId="294" xr:uid="{EC2329C7-53CC-4752-969E-E76AFEC792B0}"/>
    <cellStyle name="Accent2 15" xfId="295" xr:uid="{AA254408-8713-4BB2-A399-31F8CB9334CB}"/>
    <cellStyle name="Accent2 16" xfId="296" xr:uid="{47773A11-4837-46B1-9BFD-B71CB92243C1}"/>
    <cellStyle name="Accent2 2" xfId="297" xr:uid="{51D9049A-BFB3-44DE-B7A7-372E0FE33E36}"/>
    <cellStyle name="Accent2 3" xfId="298" xr:uid="{6BAAEB37-1D37-4577-B1EC-A719546241B6}"/>
    <cellStyle name="Accent2 4" xfId="299" xr:uid="{CF51BEAC-EBDB-4DE6-8A96-48F747E166D8}"/>
    <cellStyle name="Accent2 5" xfId="300" xr:uid="{2B1D1826-2E45-41B5-A423-6B076C38D7CA}"/>
    <cellStyle name="Accent2 6" xfId="301" xr:uid="{3D749086-4EBC-469E-8835-94A475F41AD5}"/>
    <cellStyle name="Accent2 7" xfId="302" xr:uid="{03EB262B-88EE-4646-9D81-B3EFF84AB2CE}"/>
    <cellStyle name="Accent2 8" xfId="303" xr:uid="{A4AC6630-6326-4971-9D66-6C757CB43B11}"/>
    <cellStyle name="Accent2 9" xfId="304" xr:uid="{6EA1C7E0-E904-49FD-8B40-F30AE16DB6FD}"/>
    <cellStyle name="Accent3 10" xfId="305" xr:uid="{B78969E0-7690-44FC-B4D6-EB68DEDC8BB2}"/>
    <cellStyle name="Accent3 11" xfId="306" xr:uid="{7A4D4717-75F8-49AC-94CC-677375E9D6A7}"/>
    <cellStyle name="Accent3 12" xfId="307" xr:uid="{8F011D61-F7E4-42D5-A03B-0DDA7A1BBD00}"/>
    <cellStyle name="Accent3 13" xfId="308" xr:uid="{1FBB9B7B-E1BD-472C-BEA3-529F04CFCD9C}"/>
    <cellStyle name="Accent3 14" xfId="309" xr:uid="{642BAC03-3210-48D1-BB25-F509E590E8E8}"/>
    <cellStyle name="Accent3 15" xfId="310" xr:uid="{1F6FB889-4154-4940-BFFB-4DBF179606D3}"/>
    <cellStyle name="Accent3 16" xfId="311" xr:uid="{2A0D931E-6572-4045-B896-6B16762FC021}"/>
    <cellStyle name="Accent3 2" xfId="312" xr:uid="{7734CB77-7F85-41E7-BC85-571A5A393D0B}"/>
    <cellStyle name="Accent3 3" xfId="313" xr:uid="{92023E4C-BEFC-4B4B-AE48-73D31888547A}"/>
    <cellStyle name="Accent3 4" xfId="314" xr:uid="{B9D924E9-3B72-4CFE-8B44-917C53827384}"/>
    <cellStyle name="Accent3 5" xfId="315" xr:uid="{DC3290BF-7A25-4DF1-A3A7-C983CA5B6397}"/>
    <cellStyle name="Accent3 6" xfId="316" xr:uid="{74C6FCFA-CB59-46C8-98CE-110366A5AB47}"/>
    <cellStyle name="Accent3 7" xfId="317" xr:uid="{59205CAB-30E6-4355-B9FA-FF7C9167C4B2}"/>
    <cellStyle name="Accent3 8" xfId="318" xr:uid="{CB0B9E39-2B93-4874-9897-B15728643FC6}"/>
    <cellStyle name="Accent3 9" xfId="319" xr:uid="{039BFCBB-8FF8-4673-A16E-0B9EC5093E9F}"/>
    <cellStyle name="Accent4 10" xfId="320" xr:uid="{F3018134-9E5B-475C-AFF7-1015BF7B4C8A}"/>
    <cellStyle name="Accent4 11" xfId="321" xr:uid="{F847D1C3-9B15-4443-A9D7-FF14FEF994C9}"/>
    <cellStyle name="Accent4 12" xfId="322" xr:uid="{DB41D448-6CA7-4632-9D82-4CED873F1293}"/>
    <cellStyle name="Accent4 13" xfId="323" xr:uid="{DD1C635A-F874-459F-90A0-5117B00A6934}"/>
    <cellStyle name="Accent4 14" xfId="324" xr:uid="{BF2A0060-D68C-4F8D-A9C9-B2CBB67C19E8}"/>
    <cellStyle name="Accent4 15" xfId="325" xr:uid="{5E9F4277-BA44-4D1E-942C-579BF4E76BDC}"/>
    <cellStyle name="Accent4 16" xfId="326" xr:uid="{3B6FBD5C-9276-4D58-8498-EF852FE82949}"/>
    <cellStyle name="Accent4 2" xfId="327" xr:uid="{44FC8E33-D692-4F1C-BF2F-D43BE324D84A}"/>
    <cellStyle name="Accent4 3" xfId="328" xr:uid="{10938F7A-CED4-47F5-AA87-8ECA40078847}"/>
    <cellStyle name="Accent4 4" xfId="329" xr:uid="{A8B70129-3F5E-40D2-985D-CD5CF88D401D}"/>
    <cellStyle name="Accent4 5" xfId="330" xr:uid="{530604D2-942B-476E-936B-58B3FFF93DD7}"/>
    <cellStyle name="Accent4 6" xfId="331" xr:uid="{2669972A-3981-4034-8A20-B9174F1BAEFD}"/>
    <cellStyle name="Accent4 7" xfId="332" xr:uid="{47969D55-F8A5-4237-A7D6-4040D9FBF06B}"/>
    <cellStyle name="Accent4 8" xfId="333" xr:uid="{AD1C7024-2519-4646-A137-717F95726D02}"/>
    <cellStyle name="Accent4 9" xfId="334" xr:uid="{FD16F03B-B5F3-4151-B400-E32DBA20E871}"/>
    <cellStyle name="Accent5 10" xfId="335" xr:uid="{7E8B62C7-E180-48C0-AD31-FC98A7ABF955}"/>
    <cellStyle name="Accent5 11" xfId="336" xr:uid="{25CD6386-06C3-4D38-AD44-E4B34DCC2C6D}"/>
    <cellStyle name="Accent5 12" xfId="337" xr:uid="{548A511F-E4D9-4414-B1FB-8E36414398BE}"/>
    <cellStyle name="Accent5 13" xfId="338" xr:uid="{23CAE6DE-63A5-43B3-834D-768E1FD4679A}"/>
    <cellStyle name="Accent5 14" xfId="339" xr:uid="{CFD8D085-4820-4F6F-811B-387DC2881E1A}"/>
    <cellStyle name="Accent5 15" xfId="340" xr:uid="{E2A0F154-3037-48B8-ABDD-1E433C62C30F}"/>
    <cellStyle name="Accent5 16" xfId="341" xr:uid="{42FD3140-0AF9-4B14-901E-800586DC0255}"/>
    <cellStyle name="Accent5 2" xfId="342" xr:uid="{DC14B932-36D7-4930-920E-0E724E676029}"/>
    <cellStyle name="Accent5 3" xfId="343" xr:uid="{FC00CED4-18F1-4152-9FDC-C9E9BD40374C}"/>
    <cellStyle name="Accent5 4" xfId="344" xr:uid="{ACBF204D-CE19-4703-AA10-A14DD8811F67}"/>
    <cellStyle name="Accent5 5" xfId="345" xr:uid="{84C480CE-E63E-4EBC-A244-66F131AF703A}"/>
    <cellStyle name="Accent5 6" xfId="346" xr:uid="{06DD092A-221B-4D12-9E7B-0D1CAF2B096B}"/>
    <cellStyle name="Accent5 7" xfId="347" xr:uid="{C1626720-5D4A-41E6-8D47-5BE597738A17}"/>
    <cellStyle name="Accent5 8" xfId="348" xr:uid="{84F5514A-93A7-434D-BC5E-C05E60A030B1}"/>
    <cellStyle name="Accent5 9" xfId="349" xr:uid="{A0EE6D1A-F36C-45C1-B315-9F985085C12C}"/>
    <cellStyle name="Accent6 10" xfId="350" xr:uid="{4BB723CC-C75C-42B5-ACCB-34ADF67D2731}"/>
    <cellStyle name="Accent6 11" xfId="351" xr:uid="{D9F57898-FBFD-4769-98D7-41B3E289D1C3}"/>
    <cellStyle name="Accent6 12" xfId="352" xr:uid="{2F606B3A-9497-4044-8F5B-51391F4A7102}"/>
    <cellStyle name="Accent6 13" xfId="353" xr:uid="{2F6FD72D-9F6E-4F31-815B-E6EFFB1A95C5}"/>
    <cellStyle name="Accent6 14" xfId="354" xr:uid="{8FC619C2-915A-424E-87B6-D0C756ABF35E}"/>
    <cellStyle name="Accent6 15" xfId="355" xr:uid="{C66BA04F-EBEB-43C7-96A1-B8B9A67DDB17}"/>
    <cellStyle name="Accent6 16" xfId="356" xr:uid="{D8061EB9-40F1-4DD8-9646-04CEEDAD1F2A}"/>
    <cellStyle name="Accent6 2" xfId="357" xr:uid="{0C154FD8-0068-40CF-8286-C8DFF16D93C0}"/>
    <cellStyle name="Accent6 3" xfId="358" xr:uid="{C564C268-2C93-4840-81AB-6DF71B704EBA}"/>
    <cellStyle name="Accent6 4" xfId="359" xr:uid="{4D40FE01-3EEE-45EC-8AB0-3463E181367E}"/>
    <cellStyle name="Accent6 5" xfId="360" xr:uid="{30F8C725-D53E-4738-842B-380751398512}"/>
    <cellStyle name="Accent6 6" xfId="361" xr:uid="{6DF615AB-764C-4E35-BDDD-FED00F50969C}"/>
    <cellStyle name="Accent6 7" xfId="362" xr:uid="{32EBDA05-3322-4335-9E78-10D80BDE2C14}"/>
    <cellStyle name="Accent6 8" xfId="363" xr:uid="{EDDCF83B-46B8-4807-9492-722316B3A94B}"/>
    <cellStyle name="Accent6 9" xfId="364" xr:uid="{FF2E9CE5-C0FA-434F-B383-7BA794FBE45C}"/>
    <cellStyle name="Bad 10" xfId="365" xr:uid="{D7FE9ABE-0428-4517-AF3D-31E9836229BC}"/>
    <cellStyle name="Bad 11" xfId="366" xr:uid="{B3EF0C9C-C79C-4234-AB4D-EC9BAE826CDB}"/>
    <cellStyle name="Bad 12" xfId="367" xr:uid="{5B5F28EA-8866-4462-AD97-C6D52B9C0DFA}"/>
    <cellStyle name="Bad 13" xfId="368" xr:uid="{77D2F486-9044-439A-81C1-BC8C46A9E041}"/>
    <cellStyle name="Bad 14" xfId="369" xr:uid="{84CD9F28-7C0C-487C-A835-355FCCEB880D}"/>
    <cellStyle name="Bad 15" xfId="370" xr:uid="{37CE7807-0B03-4E57-8CBB-5D00B07808F6}"/>
    <cellStyle name="Bad 16" xfId="371" xr:uid="{B0706254-2012-498B-9C37-93A26EB23B8E}"/>
    <cellStyle name="Bad 2" xfId="372" xr:uid="{530DEE9E-8C27-4CE5-A589-E465D963E894}"/>
    <cellStyle name="Bad 3" xfId="373" xr:uid="{8C1F5275-0FEB-4B7A-8B21-3A593400BE01}"/>
    <cellStyle name="Bad 4" xfId="374" xr:uid="{C86C44CD-FD75-4FDC-A0AC-7438369DC0C3}"/>
    <cellStyle name="Bad 5" xfId="375" xr:uid="{24CAF783-904D-4013-AE60-A1607D3D8F4C}"/>
    <cellStyle name="Bad 6" xfId="376" xr:uid="{65337498-4BBB-4861-B0F3-E1B8B0517312}"/>
    <cellStyle name="Bad 7" xfId="377" xr:uid="{EAF585C8-3977-41E6-9360-19CE25559858}"/>
    <cellStyle name="Bad 8" xfId="378" xr:uid="{292E884D-9263-4C93-9522-15F50C03624D}"/>
    <cellStyle name="Bad 9" xfId="379" xr:uid="{A124A4C5-50D5-4307-8C44-5B5D25152456}"/>
    <cellStyle name="Calculation 10" xfId="380" xr:uid="{5B687982-C588-4D75-BAB3-2E4CEA5B271F}"/>
    <cellStyle name="Calculation 10 10" xfId="955" xr:uid="{65BC0C1F-953C-4BB4-AE4A-A37D46B71CDD}"/>
    <cellStyle name="Calculation 10 11" xfId="830" xr:uid="{0B1D2AD0-B1A6-441B-BADE-A40A41F9EAD1}"/>
    <cellStyle name="Calculation 10 12" xfId="970" xr:uid="{8CB3D7CE-DF4D-478A-85B9-33D0908388C3}"/>
    <cellStyle name="Calculation 10 13" xfId="815" xr:uid="{7C003943-A929-4407-8D3A-21021D405624}"/>
    <cellStyle name="Calculation 10 14" xfId="986" xr:uid="{64335FAB-9470-4022-B6F5-13E3824F920F}"/>
    <cellStyle name="Calculation 10 15" xfId="891" xr:uid="{B4586032-13DE-4310-86BD-F01ED0BB8EDA}"/>
    <cellStyle name="Calculation 10 16" xfId="1001" xr:uid="{DE752D5B-9E77-4472-925B-EBD38F6F833D}"/>
    <cellStyle name="Calculation 10 17" xfId="786" xr:uid="{C4D7BCDC-7D0F-499E-84AD-512B30763087}"/>
    <cellStyle name="Calculation 10 18" xfId="1030" xr:uid="{069093C3-435E-4B18-8006-A0129758DB85}"/>
    <cellStyle name="Calculation 10 19" xfId="771" xr:uid="{EA100781-3EDE-489D-8AF2-2AA7859EBEE8}"/>
    <cellStyle name="Calculation 10 2" xfId="895" xr:uid="{FA731863-2F9C-474F-8A9B-32A26F595C23}"/>
    <cellStyle name="Calculation 10 20" xfId="1254" xr:uid="{4DB86E7B-5FF0-43BA-8C1F-943D42E8D7DF}"/>
    <cellStyle name="Calculation 10 21" xfId="742" xr:uid="{D8302E15-DB23-4773-9A97-C35F7B655A87}"/>
    <cellStyle name="Calculation 10 22" xfId="1086" xr:uid="{ABDE6EFB-7CC7-475D-874E-4CA6B2A3AAE3}"/>
    <cellStyle name="Calculation 10 23" xfId="1484" xr:uid="{F73C6A80-0BD1-428C-A4B9-029D941B7E3F}"/>
    <cellStyle name="Calculation 10 24" xfId="985" xr:uid="{C5BB5C6E-A125-419F-B4A3-380F20D1C026}"/>
    <cellStyle name="Calculation 10 25" xfId="1635" xr:uid="{76A07A2A-DFFF-479D-A1DD-237D9C0360C9}"/>
    <cellStyle name="Calculation 10 26" xfId="1709" xr:uid="{1A375091-0964-4734-88EC-43A28605F532}"/>
    <cellStyle name="Calculation 10 27" xfId="1785" xr:uid="{E46D88BB-18E5-4C96-B1CB-B97D7957256E}"/>
    <cellStyle name="Calculation 10 28" xfId="1850" xr:uid="{87E5639E-A5CB-4185-97D7-2BA4AEBF2BE8}"/>
    <cellStyle name="Calculation 10 29" xfId="1914" xr:uid="{C39B354C-51C4-4C47-BA78-6E950D388967}"/>
    <cellStyle name="Calculation 10 3" xfId="888" xr:uid="{2810CE0A-0F4A-45D7-848A-7FB44E54A2DE}"/>
    <cellStyle name="Calculation 10 30" xfId="1707" xr:uid="{A0772DCD-7A6C-4C35-B663-FAEB552E2BFE}"/>
    <cellStyle name="Calculation 10 31" xfId="894" xr:uid="{96C1ABE5-F7A5-4431-AF32-14450D796B2B}"/>
    <cellStyle name="Calculation 10 32" xfId="1848" xr:uid="{BCFA010E-80E1-4AAD-8886-D1C9AC97007F}"/>
    <cellStyle name="Calculation 10 4" xfId="911" xr:uid="{7E7C2FDC-7AF7-46A0-AC8E-D9D01989C606}"/>
    <cellStyle name="Calculation 10 5" xfId="890" xr:uid="{66885C78-BDD1-4CB7-BAB1-4A05670CBC6F}"/>
    <cellStyle name="Calculation 10 6" xfId="910" xr:uid="{7F6266CD-7361-4554-BACF-56824A81184A}"/>
    <cellStyle name="Calculation 10 7" xfId="860" xr:uid="{5A6701FC-5172-4211-931E-FB7962D0F561}"/>
    <cellStyle name="Calculation 10 8" xfId="940" xr:uid="{42B309A4-3A32-4C42-BBDE-13A1A6029888}"/>
    <cellStyle name="Calculation 10 9" xfId="845" xr:uid="{C1EBB541-A127-4E06-BF72-23FD625084D1}"/>
    <cellStyle name="Calculation 11" xfId="381" xr:uid="{57E5ED33-C952-4291-9139-C113614FE1ED}"/>
    <cellStyle name="Calculation 11 10" xfId="956" xr:uid="{DFA5FA0E-2D62-4192-9DF7-FF48F72ED612}"/>
    <cellStyle name="Calculation 11 11" xfId="829" xr:uid="{F6F92231-5AFA-4C3D-AF65-79254A16E77F}"/>
    <cellStyle name="Calculation 11 12" xfId="971" xr:uid="{F03C4407-5E21-4937-8119-79F04DC885AB}"/>
    <cellStyle name="Calculation 11 13" xfId="814" xr:uid="{462A1903-FAB1-48DB-891A-8C3A6857ABED}"/>
    <cellStyle name="Calculation 11 14" xfId="987" xr:uid="{0C2E1B40-6E0B-4014-A56B-C1FEE72C0315}"/>
    <cellStyle name="Calculation 11 15" xfId="800" xr:uid="{D83456A0-F834-4F12-948C-4834712D49E2}"/>
    <cellStyle name="Calculation 11 16" xfId="1002" xr:uid="{80C69999-533B-4C93-892E-0622F7FD0C2D}"/>
    <cellStyle name="Calculation 11 17" xfId="785" xr:uid="{40012675-4256-4458-BAD3-EDBB36C07F03}"/>
    <cellStyle name="Calculation 11 18" xfId="1031" xr:uid="{DA0AE01E-7AE2-43C8-A016-641C20AA36FC}"/>
    <cellStyle name="Calculation 11 19" xfId="770" xr:uid="{23C6458D-B129-47E4-9B35-8A5842E58354}"/>
    <cellStyle name="Calculation 11 2" xfId="896" xr:uid="{6B5DEDD6-D8BC-4687-A0E5-DD663ADC68D0}"/>
    <cellStyle name="Calculation 11 20" xfId="1059" xr:uid="{2B5FA8A5-9CAF-4713-B60F-984B3C48AA89}"/>
    <cellStyle name="Calculation 11 21" xfId="1332" xr:uid="{17F6A812-D683-4108-8D90-FA54C71A34A6}"/>
    <cellStyle name="Calculation 11 22" xfId="1255" xr:uid="{A861B314-FA88-44FE-8452-EC49F1444CD9}"/>
    <cellStyle name="Calculation 11 23" xfId="699" xr:uid="{D730C14B-DEB9-4B29-94AF-6D31756D4BA0}"/>
    <cellStyle name="Calculation 11 24" xfId="673" xr:uid="{B159F82D-31F9-4475-9E04-E2986E85B5DC}"/>
    <cellStyle name="Calculation 11 25" xfId="1214" xr:uid="{7AB248D8-3506-4263-82B9-5F616184DF06}"/>
    <cellStyle name="Calculation 11 26" xfId="1291" xr:uid="{D61CA01F-CE01-4F9A-A194-E1565526C048}"/>
    <cellStyle name="Calculation 11 27" xfId="1368" xr:uid="{505471D5-276C-4706-A1E0-C08426051768}"/>
    <cellStyle name="Calculation 11 28" xfId="1444" xr:uid="{CA35753B-AB19-4503-BDF1-6AC88CCF7202}"/>
    <cellStyle name="Calculation 11 29" xfId="1519" xr:uid="{3F691CCC-1B0B-4E79-86E7-C05CC8689E97}"/>
    <cellStyle name="Calculation 11 3" xfId="887" xr:uid="{C01BA00C-1CAA-4206-9345-55F71270D7E7}"/>
    <cellStyle name="Calculation 11 30" xfId="1596" xr:uid="{4D2320E6-F2B5-4ED7-A423-AE98D6DF46ED}"/>
    <cellStyle name="Calculation 11 31" xfId="893" xr:uid="{1AFBF807-5194-4187-B3E1-42418547C8A1}"/>
    <cellStyle name="Calculation 11 32" xfId="1746" xr:uid="{99F75E93-4D9F-45C4-8722-39DADDDAA485}"/>
    <cellStyle name="Calculation 11 4" xfId="912" xr:uid="{4E8DA353-7AF2-4943-B277-483BC9CBB1D1}"/>
    <cellStyle name="Calculation 11 5" xfId="889" xr:uid="{847D5AF1-25F2-4ED6-A564-7C669ED184C6}"/>
    <cellStyle name="Calculation 11 6" xfId="926" xr:uid="{B91D9906-978B-4FC9-98A7-63D5F6A758C9}"/>
    <cellStyle name="Calculation 11 7" xfId="859" xr:uid="{7B74018F-F852-4340-8D0F-B24AC02D0FA5}"/>
    <cellStyle name="Calculation 11 8" xfId="941" xr:uid="{9C8EFD7E-56C7-4E71-BB80-301DB1FD94E0}"/>
    <cellStyle name="Calculation 11 9" xfId="844" xr:uid="{0A39D187-99FE-417C-B45B-4B3452451EF3}"/>
    <cellStyle name="Calculation 12" xfId="382" xr:uid="{B71BA25A-46C5-44E9-AA35-F0C5EAD60AE1}"/>
    <cellStyle name="Calculation 12 10" xfId="957" xr:uid="{37A374EF-4C31-4C38-BEBE-3E1D50717D52}"/>
    <cellStyle name="Calculation 12 11" xfId="828" xr:uid="{93C7CBFF-4528-4C4E-A117-6179F0696B90}"/>
    <cellStyle name="Calculation 12 12" xfId="972" xr:uid="{7663378F-4A16-4415-A4A7-BEB701BCD436}"/>
    <cellStyle name="Calculation 12 13" xfId="813" xr:uid="{6C359C61-D347-44BD-B538-0239D08C4881}"/>
    <cellStyle name="Calculation 12 14" xfId="988" xr:uid="{4A5D78D4-3B79-41AE-9E57-4ACFD4C43302}"/>
    <cellStyle name="Calculation 12 15" xfId="799" xr:uid="{45223DC9-360B-4130-900F-B9A1181781AE}"/>
    <cellStyle name="Calculation 12 16" xfId="1003" xr:uid="{D58F9E8C-F082-4B38-B0A2-A6ACE1E40C9A}"/>
    <cellStyle name="Calculation 12 17" xfId="784" xr:uid="{B839F355-0501-4BB1-B99B-758294C2336B}"/>
    <cellStyle name="Calculation 12 18" xfId="1032" xr:uid="{D75AD557-E1FA-40DA-BDE2-653BE37961F4}"/>
    <cellStyle name="Calculation 12 19" xfId="769" xr:uid="{A1AAD6CE-DCA8-4991-AC4B-F7DBE6DA6838}"/>
    <cellStyle name="Calculation 12 2" xfId="897" xr:uid="{6E943C4C-66BB-4203-9DDA-AC2F5A760306}"/>
    <cellStyle name="Calculation 12 20" xfId="1060" xr:uid="{95F1BE59-0763-4133-8559-9C222B51C0B1}"/>
    <cellStyle name="Calculation 12 21" xfId="726" xr:uid="{81296A5A-D560-465F-B369-9B0C1BC62432}"/>
    <cellStyle name="Calculation 12 22" xfId="1087" xr:uid="{DE0A90C3-F827-4DCF-BA82-186BE31925A5}"/>
    <cellStyle name="Calculation 12 23" xfId="1333" xr:uid="{1CB965D6-D5A1-4B7F-8ECD-CF313839362F}"/>
    <cellStyle name="Calculation 12 24" xfId="1410" xr:uid="{CB565253-4F5C-4262-AA08-9FF2D0FC314A}"/>
    <cellStyle name="Calculation 12 25" xfId="1485" xr:uid="{2CD6C18B-423F-4838-BAEE-AD4E521C43C4}"/>
    <cellStyle name="Calculation 12 26" xfId="1561" xr:uid="{935B8943-8682-4A20-B721-7F69E3FDF13C}"/>
    <cellStyle name="Calculation 12 27" xfId="1636" xr:uid="{25851B2B-E808-42A0-BB31-94BF8093F53F}"/>
    <cellStyle name="Calculation 12 28" xfId="1710" xr:uid="{EDD970A7-5241-4382-A304-ADE06223B4EA}"/>
    <cellStyle name="Calculation 12 29" xfId="1786" xr:uid="{754BF107-2E9B-408F-9D07-1045A610797B}"/>
    <cellStyle name="Calculation 12 3" xfId="886" xr:uid="{08548069-C694-4039-AC2E-9604149C94B8}"/>
    <cellStyle name="Calculation 12 30" xfId="1597" xr:uid="{F109A5A6-7F6C-4FDC-B046-E711555274C9}"/>
    <cellStyle name="Calculation 12 31" xfId="892" xr:uid="{067BA710-896C-4B04-A2E7-BCBEBCA461C2}"/>
    <cellStyle name="Calculation 12 32" xfId="1747" xr:uid="{E3A6F4BE-358A-4A4C-AB13-B0B99E3F0D2D}"/>
    <cellStyle name="Calculation 12 4" xfId="913" xr:uid="{EC04CCBE-D949-4CDD-8497-6B6023054D53}"/>
    <cellStyle name="Calculation 12 5" xfId="873" xr:uid="{6D90AE7B-05CC-4641-B5E4-07E14F80423C}"/>
    <cellStyle name="Calculation 12 6" xfId="927" xr:uid="{5E07DD9A-4E11-4C86-9E57-81CE10E0688A}"/>
    <cellStyle name="Calculation 12 7" xfId="858" xr:uid="{DB824875-6AA1-4780-94F9-37D0AED9A099}"/>
    <cellStyle name="Calculation 12 8" xfId="942" xr:uid="{7322684F-FB27-4EB6-9188-F6263ACB8925}"/>
    <cellStyle name="Calculation 12 9" xfId="843" xr:uid="{EF20E492-DC78-48F9-A572-EDD54CEFC9AB}"/>
    <cellStyle name="Calculation 13" xfId="383" xr:uid="{F3C3F972-9E9A-4F93-A724-47F576AEEFFE}"/>
    <cellStyle name="Calculation 13 10" xfId="958" xr:uid="{0EC4D127-393D-42C3-9378-1A65BFA53083}"/>
    <cellStyle name="Calculation 13 11" xfId="827" xr:uid="{93B4A8A0-E100-4BE6-94B7-234B5B5CCC57}"/>
    <cellStyle name="Calculation 13 12" xfId="973" xr:uid="{9DB56710-EECD-40C2-8F1B-DAD8EB03EDC4}"/>
    <cellStyle name="Calculation 13 13" xfId="812" xr:uid="{558ABDCC-C5E1-48E6-8A16-0EDFA2980A07}"/>
    <cellStyle name="Calculation 13 14" xfId="989" xr:uid="{C0ABA95E-76F0-43AD-8177-DB82B386D2EA}"/>
    <cellStyle name="Calculation 13 15" xfId="798" xr:uid="{59A8830D-E5AE-426D-8A03-E7CEE43F295A}"/>
    <cellStyle name="Calculation 13 16" xfId="1004" xr:uid="{7036962A-07DB-45F3-BF33-93B1C16B2089}"/>
    <cellStyle name="Calculation 13 17" xfId="783" xr:uid="{DB5AF719-06CC-4F1C-ABD2-7CB5DA44DCA7}"/>
    <cellStyle name="Calculation 13 18" xfId="1033" xr:uid="{47B21AD0-7333-4DFB-91B1-1F2BD582D9B5}"/>
    <cellStyle name="Calculation 13 19" xfId="1181" xr:uid="{BF3E865F-1ED0-4CB4-AD40-384F6D22789B}"/>
    <cellStyle name="Calculation 13 2" xfId="898" xr:uid="{4322C181-6386-468D-B790-39C1199C1BE3}"/>
    <cellStyle name="Calculation 13 20" xfId="1061" xr:uid="{B76EAD86-E192-4CB7-8871-491BB425E8A1}"/>
    <cellStyle name="Calculation 13 21" xfId="725" xr:uid="{D74647E4-35EC-4FEA-8CEF-27F60734C315}"/>
    <cellStyle name="Calculation 13 22" xfId="1088" xr:uid="{AC62DD7B-638D-4812-8F9A-CD4620627218}"/>
    <cellStyle name="Calculation 13 23" xfId="698" xr:uid="{EE5EC02D-07C7-464D-BCD4-F813E559DE8B}"/>
    <cellStyle name="Calculation 13 24" xfId="1143" xr:uid="{B0BD996E-C87A-43A9-91F5-4B02199190A5}"/>
    <cellStyle name="Calculation 13 25" xfId="1215" xr:uid="{E9E7D9FD-39CF-4638-9CAA-245CCB41D2D9}"/>
    <cellStyle name="Calculation 13 26" xfId="1292" xr:uid="{AA821109-1CFC-450E-90D4-549DCF8FF1AC}"/>
    <cellStyle name="Calculation 13 27" xfId="1369" xr:uid="{6AC70DAE-788E-4D35-BC8C-3D97EF443A2C}"/>
    <cellStyle name="Calculation 13 28" xfId="1445" xr:uid="{48559B45-E7B1-48E2-B9C8-16B09EA81B25}"/>
    <cellStyle name="Calculation 13 29" xfId="1520" xr:uid="{7C84C26D-9E74-48F7-8B17-C7D0988B6F31}"/>
    <cellStyle name="Calculation 13 3" xfId="885" xr:uid="{DF66B69C-4C5E-4581-A325-4BC84DAC0890}"/>
    <cellStyle name="Calculation 13 30" xfId="1598" xr:uid="{CC3F2D18-731C-49D7-AE7C-FC46FC96E748}"/>
    <cellStyle name="Calculation 13 31" xfId="714" xr:uid="{00D37CB0-BD23-404B-B11B-9D13F9EE3CBC}"/>
    <cellStyle name="Calculation 13 32" xfId="1748" xr:uid="{5C15C31C-EBA1-4ECB-B4A4-D248FA245F3A}"/>
    <cellStyle name="Calculation 13 4" xfId="914" xr:uid="{35B3675E-497A-4494-9EF5-1558A1025E93}"/>
    <cellStyle name="Calculation 13 5" xfId="872" xr:uid="{665FD20A-DF3D-4883-B5A0-DF5EA4758FF9}"/>
    <cellStyle name="Calculation 13 6" xfId="928" xr:uid="{6B2DD4C0-14BC-4E55-B55A-884759EC3348}"/>
    <cellStyle name="Calculation 13 7" xfId="857" xr:uid="{88BBAA5F-09EF-4301-BAB8-36D82B4E8638}"/>
    <cellStyle name="Calculation 13 8" xfId="943" xr:uid="{D7F79803-820D-4BA9-844A-EB4A21B57717}"/>
    <cellStyle name="Calculation 13 9" xfId="842" xr:uid="{2ADB6A32-5D24-439A-9454-F03DCA2F7C42}"/>
    <cellStyle name="Calculation 14" xfId="384" xr:uid="{F6E31E53-B117-4E81-84F9-6323117D3F51}"/>
    <cellStyle name="Calculation 14 10" xfId="959" xr:uid="{FE60DBDC-4486-4A21-91CF-45F159D1A10A}"/>
    <cellStyle name="Calculation 14 11" xfId="826" xr:uid="{CD6FF43A-9D94-409B-AF3C-94295B5B9335}"/>
    <cellStyle name="Calculation 14 12" xfId="974" xr:uid="{B190DEDF-2401-4251-A456-3DE0A6D8911E}"/>
    <cellStyle name="Calculation 14 13" xfId="811" xr:uid="{E04B6ED3-4CBD-446A-8E1D-D754E4BE6427}"/>
    <cellStyle name="Calculation 14 14" xfId="990" xr:uid="{3314CCFE-F5BB-4ACC-850A-2953EB1A8998}"/>
    <cellStyle name="Calculation 14 15" xfId="797" xr:uid="{2BE769E4-87DE-4262-92E5-77018D1CF7EB}"/>
    <cellStyle name="Calculation 14 16" xfId="1005" xr:uid="{EB4CD885-7E6B-4C8B-8FE7-93F392B1DF6F}"/>
    <cellStyle name="Calculation 14 17" xfId="782" xr:uid="{6686874F-BAA7-4C18-83E3-B505EA6D430A}"/>
    <cellStyle name="Calculation 14 18" xfId="1034" xr:uid="{D5E91D0C-F77F-417E-8A29-3F4E66C92D6F}"/>
    <cellStyle name="Calculation 14 19" xfId="753" xr:uid="{AA073DE6-8C34-440D-9138-4A8E95255F25}"/>
    <cellStyle name="Calculation 14 2" xfId="899" xr:uid="{A279E6B8-E3E5-479E-90E9-E861E2E7690A}"/>
    <cellStyle name="Calculation 14 20" xfId="1062" xr:uid="{3EABD0AD-8979-453B-A840-A8CBFA610E56}"/>
    <cellStyle name="Calculation 14 21" xfId="724" xr:uid="{1B5BD8A7-2B73-4EF3-9C29-120B30C82A63}"/>
    <cellStyle name="Calculation 14 22" xfId="1089" xr:uid="{1CE94D43-7963-49EF-976C-F7DD121FBEDB}"/>
    <cellStyle name="Calculation 14 23" xfId="697" xr:uid="{5195AA3B-4966-4A23-9318-91B92DE605D6}"/>
    <cellStyle name="Calculation 14 24" xfId="1144" xr:uid="{C379C06A-8671-404F-BD09-F8E63E3A63F1}"/>
    <cellStyle name="Calculation 14 25" xfId="1330" xr:uid="{8CD0060C-F69B-4495-A1CB-3C2F4FE08A6A}"/>
    <cellStyle name="Calculation 14 26" xfId="1407" xr:uid="{0D18AED2-81DB-44A8-85C9-DDC05B06CAA5}"/>
    <cellStyle name="Calculation 14 27" xfId="1482" xr:uid="{F042F9FD-EC98-4378-93A9-54D1A57A7646}"/>
    <cellStyle name="Calculation 14 28" xfId="1558" xr:uid="{32C81072-3B0B-4F2C-886C-1899C399A138}"/>
    <cellStyle name="Calculation 14 29" xfId="1633" xr:uid="{574C8D92-1D58-4495-988F-816B1D419B79}"/>
    <cellStyle name="Calculation 14 3" xfId="884" xr:uid="{897DAC7A-A6D6-4291-B5EE-560CA1A3D728}"/>
    <cellStyle name="Calculation 14 30" xfId="1599" xr:uid="{BF68A20F-353A-46FC-9C46-A0EF4089ACF8}"/>
    <cellStyle name="Calculation 14 31" xfId="1669" xr:uid="{7B353497-FB94-439D-864D-6C96E7156D07}"/>
    <cellStyle name="Calculation 14 32" xfId="1749" xr:uid="{66451ADC-DB1D-49F3-83F6-36723F8B489A}"/>
    <cellStyle name="Calculation 14 4" xfId="915" xr:uid="{E5027D50-E8F5-4F4F-A500-9C08F9AC129E}"/>
    <cellStyle name="Calculation 14 5" xfId="871" xr:uid="{33563C75-C8D6-4BAD-A135-12F7149C5B91}"/>
    <cellStyle name="Calculation 14 6" xfId="929" xr:uid="{C38CC455-C846-41F3-9758-FD252C07F188}"/>
    <cellStyle name="Calculation 14 7" xfId="856" xr:uid="{A5C2E8C5-CF09-4374-92FC-0CBA2752F1B2}"/>
    <cellStyle name="Calculation 14 8" xfId="944" xr:uid="{FCBFCDFB-5F93-493A-BBBA-DC6D95B03ECE}"/>
    <cellStyle name="Calculation 14 9" xfId="841" xr:uid="{6249D980-190F-42B0-BB1A-C680C8E391D5}"/>
    <cellStyle name="Calculation 15" xfId="385" xr:uid="{D61A611A-1E30-4B82-A0D4-C3B39BA89EDC}"/>
    <cellStyle name="Calculation 15 10" xfId="960" xr:uid="{D44D047C-C128-4D77-B93B-3E7CF3173E38}"/>
    <cellStyle name="Calculation 15 11" xfId="825" xr:uid="{F88DADF5-5A6F-4015-9A59-B20ABE0EE185}"/>
    <cellStyle name="Calculation 15 12" xfId="975" xr:uid="{526C9A2F-B94F-41E2-9756-9AA028F44E2F}"/>
    <cellStyle name="Calculation 15 13" xfId="810" xr:uid="{33D7CC0D-CB67-418F-BCE7-B6A0C98E0A0C}"/>
    <cellStyle name="Calculation 15 14" xfId="991" xr:uid="{05B39D60-FB55-4E25-87BC-7C8BCF771D9A}"/>
    <cellStyle name="Calculation 15 15" xfId="796" xr:uid="{CB7DA120-85D2-45C0-AB23-C0B3A57F85C0}"/>
    <cellStyle name="Calculation 15 16" xfId="1006" xr:uid="{00998D63-DCEA-4B8F-AF53-16DF99FF3F4C}"/>
    <cellStyle name="Calculation 15 17" xfId="781" xr:uid="{B85AA8A1-D425-48A4-BFC5-BB09B328E42A}"/>
    <cellStyle name="Calculation 15 18" xfId="1035" xr:uid="{95304C95-F2DA-46CC-9961-1B09E7D2568B}"/>
    <cellStyle name="Calculation 15 19" xfId="752" xr:uid="{969D0BEF-A794-4C72-85B6-249A1AAD8272}"/>
    <cellStyle name="Calculation 15 2" xfId="900" xr:uid="{BF03CAF4-8716-435E-9D6F-F2C27C545D64}"/>
    <cellStyle name="Calculation 15 20" xfId="1063" xr:uid="{BC53F484-4A9C-432B-A876-53C7493F1C67}"/>
    <cellStyle name="Calculation 15 21" xfId="1182" xr:uid="{3A9463E2-B0A7-455A-87DD-39B6BD361CA6}"/>
    <cellStyle name="Calculation 15 22" xfId="1090" xr:uid="{8AF0357F-CFAF-4100-AC1E-F898E6D8CC75}"/>
    <cellStyle name="Calculation 15 23" xfId="696" xr:uid="{EE67BD93-836E-44BC-B472-E95D8DC2CBA9}"/>
    <cellStyle name="Calculation 15 24" xfId="1252" xr:uid="{99F4A4FF-8CD5-443B-9831-048AA594C068}"/>
    <cellStyle name="Calculation 15 25" xfId="1216" xr:uid="{165CC4A3-D65D-4E8B-A64F-04FDD57682AF}"/>
    <cellStyle name="Calculation 15 26" xfId="1293" xr:uid="{2020C3A8-7C8A-4B94-9F9B-94CD50BD11BC}"/>
    <cellStyle name="Calculation 15 27" xfId="1370" xr:uid="{9561F4DA-9B75-4D58-B088-D262027E5A4C}"/>
    <cellStyle name="Calculation 15 28" xfId="1446" xr:uid="{F728119C-15D6-4AEB-8C8A-5EC9D59A6403}"/>
    <cellStyle name="Calculation 15 29" xfId="1521" xr:uid="{253C7D3C-03E5-47F1-BBD9-88C5AB83D399}"/>
    <cellStyle name="Calculation 15 3" xfId="883" xr:uid="{BD6822C2-CCE5-44A7-9F4C-7427A2FDE5B5}"/>
    <cellStyle name="Calculation 15 30" xfId="1600" xr:uid="{D4DB38ED-A0BC-43E6-9262-A8F37862768E}"/>
    <cellStyle name="Calculation 15 31" xfId="1670" xr:uid="{BA03DA31-35CD-4E5B-B315-3F567ACF80A4}"/>
    <cellStyle name="Calculation 15 32" xfId="1750" xr:uid="{6B25D7CC-0722-472C-9044-6F5AF79B7263}"/>
    <cellStyle name="Calculation 15 4" xfId="916" xr:uid="{8A6325CC-BA4A-4502-8280-B6EE88981E65}"/>
    <cellStyle name="Calculation 15 5" xfId="870" xr:uid="{859FBE71-1C6C-40F2-8451-BE9E7CF425E2}"/>
    <cellStyle name="Calculation 15 6" xfId="930" xr:uid="{3759E967-4F8D-4CE8-9B63-BC2DE113FBC8}"/>
    <cellStyle name="Calculation 15 7" xfId="855" xr:uid="{04E8C810-1F17-4BD7-8B76-4DD8C0C84B1B}"/>
    <cellStyle name="Calculation 15 8" xfId="945" xr:uid="{1DBAD5C3-751B-42F1-AFF7-09B836A55EDE}"/>
    <cellStyle name="Calculation 15 9" xfId="840" xr:uid="{3105ECFB-17AD-4AA1-BBDF-3178C5DF8681}"/>
    <cellStyle name="Calculation 16" xfId="386" xr:uid="{73E22511-727E-4C90-BCE1-8D4839029F82}"/>
    <cellStyle name="Calculation 16 10" xfId="961" xr:uid="{9EE83816-0AAF-4E64-B8FD-A3B7B76864EC}"/>
    <cellStyle name="Calculation 16 11" xfId="824" xr:uid="{0A21798E-870C-4011-A9F5-7C34D5EFC732}"/>
    <cellStyle name="Calculation 16 12" xfId="976" xr:uid="{2F707422-5B92-4636-8AB0-DC096A05F5A7}"/>
    <cellStyle name="Calculation 16 13" xfId="809" xr:uid="{604BA5A4-FC84-4F07-9902-E94F4CFD3446}"/>
    <cellStyle name="Calculation 16 14" xfId="992" xr:uid="{16B7E8B4-0FD8-4C47-84A7-9D324ACC72B1}"/>
    <cellStyle name="Calculation 16 15" xfId="795" xr:uid="{C36E6DF3-3AAA-43B6-AE7E-17386113CF94}"/>
    <cellStyle name="Calculation 16 16" xfId="1007" xr:uid="{3899EB0B-ED73-4288-8761-88C5E44910CF}"/>
    <cellStyle name="Calculation 16 17" xfId="780" xr:uid="{41703D15-053F-4BFD-81AD-15FFF30B9F3A}"/>
    <cellStyle name="Calculation 16 18" xfId="1036" xr:uid="{A7006101-10D2-4468-A46F-1AE8FB995B2C}"/>
    <cellStyle name="Calculation 16 19" xfId="751" xr:uid="{1FB30770-B31E-49E4-AE73-4E822398D587}"/>
    <cellStyle name="Calculation 16 2" xfId="901" xr:uid="{AE19D81C-4AF0-4756-B761-3DD6476F7AB3}"/>
    <cellStyle name="Calculation 16 20" xfId="1064" xr:uid="{0868FCB7-C426-4C16-B4EE-053444F65945}"/>
    <cellStyle name="Calculation 16 21" xfId="723" xr:uid="{C0DC8792-BB0C-4E19-A418-8F73F1088D38}"/>
    <cellStyle name="Calculation 16 22" xfId="1091" xr:uid="{1DA51C0F-24FC-4D70-AE03-9F5FE2F2FE4F}"/>
    <cellStyle name="Calculation 16 23" xfId="1179" xr:uid="{95AA65C6-9D53-4E17-857A-18358A79946E}"/>
    <cellStyle name="Calculation 16 24" xfId="1145" xr:uid="{A290584F-2285-4698-B460-64A0E9085D8A}"/>
    <cellStyle name="Calculation 16 25" xfId="1217" xr:uid="{8C486AB0-0C07-45FB-A8D8-31C998A1638E}"/>
    <cellStyle name="Calculation 16 26" xfId="1294" xr:uid="{341BED96-ACBD-48F2-8425-10CE6F6C95C8}"/>
    <cellStyle name="Calculation 16 27" xfId="1371" xr:uid="{DBE915AD-5698-4A55-B000-1EA11FAD1DD2}"/>
    <cellStyle name="Calculation 16 28" xfId="1447" xr:uid="{9B233EA3-C835-4DEA-BEEB-D4147DA90F59}"/>
    <cellStyle name="Calculation 16 29" xfId="1522" xr:uid="{7D3FC822-E0DE-4FFC-9C19-6DB994F87DF1}"/>
    <cellStyle name="Calculation 16 3" xfId="882" xr:uid="{E7945F56-1F9F-4586-A7F6-461A2E45699B}"/>
    <cellStyle name="Calculation 16 30" xfId="1601" xr:uid="{11273198-0CAA-4227-99A8-5D5B19E2984B}"/>
    <cellStyle name="Calculation 16 31" xfId="1915" xr:uid="{15188245-B131-40C9-8D3C-AE5B2AAB816E}"/>
    <cellStyle name="Calculation 16 32" xfId="1751" xr:uid="{5CAAAD45-40EB-4906-92F6-DD2712B55BD6}"/>
    <cellStyle name="Calculation 16 4" xfId="917" xr:uid="{2C46ECC6-9510-431A-B524-1CF81D78EC5C}"/>
    <cellStyle name="Calculation 16 5" xfId="869" xr:uid="{EDB90F9D-EA5D-448B-A8EC-AE5C8D05E588}"/>
    <cellStyle name="Calculation 16 6" xfId="931" xr:uid="{87B79AC1-4865-40B1-831F-E384E6DCAC3C}"/>
    <cellStyle name="Calculation 16 7" xfId="854" xr:uid="{1CC73AD7-609D-465A-A68A-A7F1831DB0E6}"/>
    <cellStyle name="Calculation 16 8" xfId="946" xr:uid="{60E0BA25-CAD9-4F62-8830-18AA01451B28}"/>
    <cellStyle name="Calculation 16 9" xfId="839" xr:uid="{79FA6003-F74F-4C4B-A94D-2A8ECE5652DE}"/>
    <cellStyle name="Calculation 2" xfId="387" xr:uid="{041E208A-D08B-4FE1-A556-BFFDCBD4E3A3}"/>
    <cellStyle name="Calculation 2 10" xfId="962" xr:uid="{782112F3-EA59-40F9-AA19-D43B4302B87A}"/>
    <cellStyle name="Calculation 2 11" xfId="823" xr:uid="{6AB1F4F2-B6E6-4619-AABE-B292493F2C86}"/>
    <cellStyle name="Calculation 2 12" xfId="977" xr:uid="{BFAAEB0B-3047-439A-998D-906B25515EC2}"/>
    <cellStyle name="Calculation 2 13" xfId="808" xr:uid="{F0D7D023-3767-4191-9659-C9A43F5A2753}"/>
    <cellStyle name="Calculation 2 14" xfId="993" xr:uid="{4438FAD9-E8B5-4E16-BDA0-61F6C941A576}"/>
    <cellStyle name="Calculation 2 15" xfId="794" xr:uid="{17CF5E38-ABF8-4AB3-BF2E-1C5CE0FF4F76}"/>
    <cellStyle name="Calculation 2 16" xfId="1008" xr:uid="{A3AAD7D1-2AF6-4A55-B22C-0D1CAC20F095}"/>
    <cellStyle name="Calculation 2 17" xfId="779" xr:uid="{5C05BB46-F1FD-4E33-A142-9FE17D3835E0}"/>
    <cellStyle name="Calculation 2 18" xfId="1037" xr:uid="{67AFD1A9-BE8D-4951-BDE8-B5F403DEB2F6}"/>
    <cellStyle name="Calculation 2 19" xfId="750" xr:uid="{359D35F1-2647-490B-8704-DED94CCECFAF}"/>
    <cellStyle name="Calculation 2 2" xfId="902" xr:uid="{75F24BDC-4D87-4D6F-8D99-419F68F14067}"/>
    <cellStyle name="Calculation 2 20" xfId="1065" xr:uid="{23C93F85-0D05-479E-A0AB-B71043317CF7}"/>
    <cellStyle name="Calculation 2 21" xfId="722" xr:uid="{EAF43AE3-400D-4F2D-9595-6876721A120F}"/>
    <cellStyle name="Calculation 2 22" xfId="1092" xr:uid="{C76A598E-19CC-4CA5-A2FF-6BE0E69170CD}"/>
    <cellStyle name="Calculation 2 23" xfId="695" xr:uid="{182A770F-863B-4F90-A347-98E6108327B6}"/>
    <cellStyle name="Calculation 2 24" xfId="1146" xr:uid="{887D2536-6056-4655-A71A-19A340ED15A6}"/>
    <cellStyle name="Calculation 2 25" xfId="1218" xr:uid="{E69FB09A-CF8F-4FEF-AD6B-E85DEA7250A4}"/>
    <cellStyle name="Calculation 2 26" xfId="1295" xr:uid="{2720ACDE-355D-44FF-92B6-DC1084043B67}"/>
    <cellStyle name="Calculation 2 27" xfId="1372" xr:uid="{7DAE1E85-0A93-4558-94F7-486188ECBE7B}"/>
    <cellStyle name="Calculation 2 28" xfId="1448" xr:uid="{D72DBFC7-0D43-4DD5-B461-30DA6A06CAAF}"/>
    <cellStyle name="Calculation 2 29" xfId="1523" xr:uid="{4E5F6DA2-C055-4C32-BD4F-4F89786AB619}"/>
    <cellStyle name="Calculation 2 3" xfId="881" xr:uid="{098FD0A9-0DDD-4F1B-A0E8-8B0C11E6B689}"/>
    <cellStyle name="Calculation 2 30" xfId="1602" xr:uid="{767E84F9-1552-4471-A22F-2A8CEFA01855}"/>
    <cellStyle name="Calculation 2 31" xfId="1671" xr:uid="{87EB8FAE-1F36-4C59-A464-E6FC4F19BC0B}"/>
    <cellStyle name="Calculation 2 32" xfId="1752" xr:uid="{5DB8C6F5-E4D8-41B8-A837-47F099092C92}"/>
    <cellStyle name="Calculation 2 4" xfId="918" xr:uid="{63B0F42D-9C13-4DFE-87E5-6AE58BEB2F4B}"/>
    <cellStyle name="Calculation 2 5" xfId="868" xr:uid="{EF29745E-BBEE-4D98-80CF-E8FD722CF9E9}"/>
    <cellStyle name="Calculation 2 6" xfId="932" xr:uid="{12C2CCE2-A5D6-4E28-997D-5166BAB6A956}"/>
    <cellStyle name="Calculation 2 7" xfId="853" xr:uid="{76B11E1C-BB9B-4030-ABEA-2F58246D54FE}"/>
    <cellStyle name="Calculation 2 8" xfId="947" xr:uid="{8F2DD176-8795-4A04-AD19-B2430B17DD5F}"/>
    <cellStyle name="Calculation 2 9" xfId="838" xr:uid="{6F154474-73F8-423A-99B3-0CBE64766135}"/>
    <cellStyle name="Calculation 3" xfId="388" xr:uid="{0D9444DC-6428-44B8-A77A-1019C964F1D6}"/>
    <cellStyle name="Calculation 3 10" xfId="963" xr:uid="{DF79A0D0-6050-4969-8CE1-F74EEA8FBC73}"/>
    <cellStyle name="Calculation 3 11" xfId="822" xr:uid="{DE2E18F3-1877-4A91-B251-F09162199015}"/>
    <cellStyle name="Calculation 3 12" xfId="978" xr:uid="{7720FBF1-29DB-4D45-BF76-D5D84F6AE5FC}"/>
    <cellStyle name="Calculation 3 13" xfId="807" xr:uid="{4FD71E3A-09B8-4607-B5B7-BFF3FAB25444}"/>
    <cellStyle name="Calculation 3 14" xfId="994" xr:uid="{F1E4D3AB-A92C-4C25-ABDF-ACE6A2AD044D}"/>
    <cellStyle name="Calculation 3 15" xfId="793" xr:uid="{7B290E83-7FB4-4E7E-A496-2424452B8729}"/>
    <cellStyle name="Calculation 3 16" xfId="1009" xr:uid="{1C4BAC1F-5A9E-4FA2-AE78-CA05431930EA}"/>
    <cellStyle name="Calculation 3 17" xfId="778" xr:uid="{6697CED0-1EBB-4E9A-9B82-6747A2AEB7B0}"/>
    <cellStyle name="Calculation 3 18" xfId="1038" xr:uid="{80F4F3C5-4A2F-4938-B86A-0831EBD7A9CE}"/>
    <cellStyle name="Calculation 3 19" xfId="749" xr:uid="{0B8A1483-0BD4-404E-A715-531A998A575F}"/>
    <cellStyle name="Calculation 3 2" xfId="903" xr:uid="{E03C4E02-0BA2-44D2-B760-237449FAC1ED}"/>
    <cellStyle name="Calculation 3 20" xfId="1066" xr:uid="{628C35F1-4CDD-4AFD-A1B2-315507DE0619}"/>
    <cellStyle name="Calculation 3 21" xfId="721" xr:uid="{F1360CF4-A64D-45F5-9373-2A8E2F6D614F}"/>
    <cellStyle name="Calculation 3 22" xfId="1093" xr:uid="{14BB4DE6-05ED-41BE-9AC0-B6CE4882A4DC}"/>
    <cellStyle name="Calculation 3 23" xfId="694" xr:uid="{FDF0213F-A049-4990-921A-BCBD195D2322}"/>
    <cellStyle name="Calculation 3 24" xfId="1147" xr:uid="{0ABB0A58-D3AE-4E7D-A701-9A0E88ACF2FA}"/>
    <cellStyle name="Calculation 3 25" xfId="1219" xr:uid="{C6414CE7-58D4-4E83-AC38-C4F97340E079}"/>
    <cellStyle name="Calculation 3 26" xfId="1296" xr:uid="{E755C76B-CCD0-40E7-A029-082743CCD6DD}"/>
    <cellStyle name="Calculation 3 27" xfId="1373" xr:uid="{B82375D6-170D-4DD2-81B4-EA629EF7BF60}"/>
    <cellStyle name="Calculation 3 28" xfId="1449" xr:uid="{A667DFE9-0FF3-4F68-AF06-00A810A2EF42}"/>
    <cellStyle name="Calculation 3 29" xfId="1524" xr:uid="{309B06C9-F251-40EC-AF72-52B00A8291A2}"/>
    <cellStyle name="Calculation 3 3" xfId="880" xr:uid="{0505B5F1-EF47-4C44-B477-7FC67D6D97E2}"/>
    <cellStyle name="Calculation 3 30" xfId="1603" xr:uid="{A5923A87-DAB5-48CB-9823-70621E8D3174}"/>
    <cellStyle name="Calculation 3 31" xfId="1783" xr:uid="{58F1D78D-BE60-479D-A66B-95EDEAAA25BB}"/>
    <cellStyle name="Calculation 3 32" xfId="1753" xr:uid="{0659BCE5-211F-4D35-AAB2-B564BF45E5EE}"/>
    <cellStyle name="Calculation 3 4" xfId="919" xr:uid="{8A368322-412F-42DA-B110-DE7665AA4AE4}"/>
    <cellStyle name="Calculation 3 5" xfId="867" xr:uid="{B6B2AC08-6654-4BD5-896F-750F97C6104C}"/>
    <cellStyle name="Calculation 3 6" xfId="933" xr:uid="{7E611EE5-0B4F-418C-82CD-C12CD5C56024}"/>
    <cellStyle name="Calculation 3 7" xfId="852" xr:uid="{D93A513C-EFA1-461C-9959-BEC48FFE6B1F}"/>
    <cellStyle name="Calculation 3 8" xfId="948" xr:uid="{3F8D2D95-2741-4A24-88DB-CA3A914D3E67}"/>
    <cellStyle name="Calculation 3 9" xfId="837" xr:uid="{DE445177-31E8-4062-A50F-FADF1740BBC5}"/>
    <cellStyle name="Calculation 4" xfId="389" xr:uid="{13541784-3932-45A8-A674-FA537D9FE7E0}"/>
    <cellStyle name="Calculation 4 10" xfId="964" xr:uid="{2B9161B5-2EF9-4929-A7D0-8E5947AA8EA8}"/>
    <cellStyle name="Calculation 4 11" xfId="821" xr:uid="{F5DBD4DE-CD8C-4ADB-B0EA-F9E703EF6475}"/>
    <cellStyle name="Calculation 4 12" xfId="979" xr:uid="{E5471738-9EC8-4244-AB1B-A7B355CB3AEA}"/>
    <cellStyle name="Calculation 4 13" xfId="806" xr:uid="{1654E389-1963-42AD-8309-F295877FB05D}"/>
    <cellStyle name="Calculation 4 14" xfId="995" xr:uid="{E13DD7AA-4198-47C3-9EBE-C612BC0D6F56}"/>
    <cellStyle name="Calculation 4 15" xfId="792" xr:uid="{9454D6F5-D25E-4501-AE01-62EA28F7C12B}"/>
    <cellStyle name="Calculation 4 16" xfId="1010" xr:uid="{BE0AF89B-14E5-4721-A7BE-57CE8E2F76B4}"/>
    <cellStyle name="Calculation 4 17" xfId="777" xr:uid="{D876AA72-1B75-4774-8007-8FA29E8162ED}"/>
    <cellStyle name="Calculation 4 18" xfId="1039" xr:uid="{8B21EC1D-115A-47A3-A4E8-C3ABD8920C73}"/>
    <cellStyle name="Calculation 4 19" xfId="748" xr:uid="{0170F5B5-F08C-48C9-A5CF-8924E5DFE6EE}"/>
    <cellStyle name="Calculation 4 2" xfId="904" xr:uid="{4F90557C-18DA-4EBF-A38C-670CF3EFB5B4}"/>
    <cellStyle name="Calculation 4 20" xfId="1067" xr:uid="{4A132390-7CD0-4793-8592-08A4739F65FB}"/>
    <cellStyle name="Calculation 4 21" xfId="720" xr:uid="{711354B4-4585-4E78-9A90-5D2D9956E0CC}"/>
    <cellStyle name="Calculation 4 22" xfId="1094" xr:uid="{A11DEE7D-A17A-4F07-91AD-F5E089420EEB}"/>
    <cellStyle name="Calculation 4 23" xfId="693" xr:uid="{20150E32-BD25-480F-BF4D-28CDA8A12E94}"/>
    <cellStyle name="Calculation 4 24" xfId="1148" xr:uid="{9BA0C757-C5DB-4A9C-977A-4E3AF9FF5F2A}"/>
    <cellStyle name="Calculation 4 25" xfId="1220" xr:uid="{BE2316C1-4636-4D83-A53E-91B43DF6B33B}"/>
    <cellStyle name="Calculation 4 26" xfId="1297" xr:uid="{F7AB9F12-BE4E-43CF-A6A0-091EFB7CB5A8}"/>
    <cellStyle name="Calculation 4 27" xfId="1374" xr:uid="{A6CDCB23-1ED3-4FD2-B7DF-053FE8C6846F}"/>
    <cellStyle name="Calculation 4 28" xfId="1450" xr:uid="{037693F0-F7F9-4ADD-90A4-40E89C61AA99}"/>
    <cellStyle name="Calculation 4 29" xfId="1525" xr:uid="{6FE8556A-400B-4723-A46D-1810B7D19624}"/>
    <cellStyle name="Calculation 4 3" xfId="879" xr:uid="{F7A65BA6-1197-4F42-B7EE-21F6051EAF4A}"/>
    <cellStyle name="Calculation 4 30" xfId="1849" xr:uid="{2F21BFAE-DB50-42B2-9A5E-4D10B9309589}"/>
    <cellStyle name="Calculation 4 31" xfId="1672" xr:uid="{B780640E-95C9-4257-9E8E-9E5AE5E637F4}"/>
    <cellStyle name="Calculation 4 32" xfId="1754" xr:uid="{EAD301CF-6D0A-4D41-B027-F91EAC4FAD15}"/>
    <cellStyle name="Calculation 4 4" xfId="920" xr:uid="{8BB1CEF0-1054-4A11-97D9-06DCD3B45C7A}"/>
    <cellStyle name="Calculation 4 5" xfId="866" xr:uid="{17D14FCD-6E4A-49C5-B823-19755774BC73}"/>
    <cellStyle name="Calculation 4 6" xfId="934" xr:uid="{79188249-EFB4-4355-8591-3861795D93C9}"/>
    <cellStyle name="Calculation 4 7" xfId="851" xr:uid="{B7D373AD-9388-433D-9FD2-4819F768DA9F}"/>
    <cellStyle name="Calculation 4 8" xfId="949" xr:uid="{834120D4-9E1B-4B0A-BB0B-0A2971F65B78}"/>
    <cellStyle name="Calculation 4 9" xfId="836" xr:uid="{4C370923-9273-4142-97C7-44220EBB430B}"/>
    <cellStyle name="Calculation 5" xfId="390" xr:uid="{775EA9E2-17E7-4484-A152-4A5222A6AD4F}"/>
    <cellStyle name="Calculation 5 10" xfId="965" xr:uid="{7CD62B4A-9B98-48EB-8205-57DD2594495A}"/>
    <cellStyle name="Calculation 5 11" xfId="820" xr:uid="{1854B325-E9C2-4B74-8A89-57CF6FC85D43}"/>
    <cellStyle name="Calculation 5 12" xfId="980" xr:uid="{AF55EB9B-ED89-4834-9FE6-B0B9E98B51C3}"/>
    <cellStyle name="Calculation 5 13" xfId="805" xr:uid="{D86F34D2-3A8F-4B2F-8D2E-12B47B72186E}"/>
    <cellStyle name="Calculation 5 14" xfId="996" xr:uid="{6C708E9C-5E5D-4BB2-87EA-9E995B841E85}"/>
    <cellStyle name="Calculation 5 15" xfId="791" xr:uid="{95F83C57-162A-42C7-8977-8A2D46C4FAAC}"/>
    <cellStyle name="Calculation 5 16" xfId="1011" xr:uid="{F182D776-C284-4D97-9E77-71C7504C8E46}"/>
    <cellStyle name="Calculation 5 17" xfId="776" xr:uid="{7CE59F7D-6C41-4996-B266-F1753A8C16B0}"/>
    <cellStyle name="Calculation 5 18" xfId="1040" xr:uid="{B3FB9735-740B-4A90-9086-E91BB8F0BF4A}"/>
    <cellStyle name="Calculation 5 19" xfId="747" xr:uid="{C8B034CB-8BDF-4888-9074-677AAEF40137}"/>
    <cellStyle name="Calculation 5 2" xfId="905" xr:uid="{D83B917C-643C-40FE-A931-B473A981CB3A}"/>
    <cellStyle name="Calculation 5 20" xfId="672" xr:uid="{5D00D807-10F1-4C2E-BE7F-FA90ED4E76F4}"/>
    <cellStyle name="Calculation 5 21" xfId="719" xr:uid="{B929AF70-3CDD-4643-AFED-616B2B04E0E3}"/>
    <cellStyle name="Calculation 5 22" xfId="674" xr:uid="{2A7856F6-F3C8-4EC4-B372-A5A2F9BF57A1}"/>
    <cellStyle name="Calculation 5 23" xfId="692" xr:uid="{38B4051A-8FF9-4404-94F9-A297E79E9540}"/>
    <cellStyle name="Calculation 5 24" xfId="1149" xr:uid="{1F9CEA95-D674-43FA-AD89-651CE3ABCE56}"/>
    <cellStyle name="Calculation 5 25" xfId="1221" xr:uid="{4C9A0AF2-C505-4DD4-954E-5224871C66C0}"/>
    <cellStyle name="Calculation 5 26" xfId="1298" xr:uid="{D3D17A83-93F3-443A-AF71-B75199693848}"/>
    <cellStyle name="Calculation 5 27" xfId="1375" xr:uid="{DAE1D2B3-388E-4FBE-8883-A3466FB9F2F2}"/>
    <cellStyle name="Calculation 5 28" xfId="1451" xr:uid="{09C58E1C-1CCB-423D-BAA5-93A6E202F0B8}"/>
    <cellStyle name="Calculation 5 29" xfId="1526" xr:uid="{80492D29-5D14-4B8F-AF40-D4AD26A855E0}"/>
    <cellStyle name="Calculation 5 3" xfId="878" xr:uid="{D875EB86-70F8-43BD-86A9-3A857E8B9660}"/>
    <cellStyle name="Calculation 5 30" xfId="1706" xr:uid="{CCA30E3D-A9EE-4DA8-ADB2-CBAC382FB7C8}"/>
    <cellStyle name="Calculation 5 31" xfId="1673" xr:uid="{BD19FA29-9E56-4870-992A-6CE9530713C7}"/>
    <cellStyle name="Calculation 5 32" xfId="1976" xr:uid="{B3BA1DF2-F8F0-4E03-B30D-2624768D5774}"/>
    <cellStyle name="Calculation 5 4" xfId="921" xr:uid="{3CCEBD29-DE30-4F79-B62E-E34DFED30677}"/>
    <cellStyle name="Calculation 5 5" xfId="865" xr:uid="{E88A427B-9C8F-4142-84FF-F11D497830D3}"/>
    <cellStyle name="Calculation 5 6" xfId="935" xr:uid="{6EA41882-107A-4E81-8BD8-0635DC80A93A}"/>
    <cellStyle name="Calculation 5 7" xfId="850" xr:uid="{835B2E01-3CC6-4D3D-BD7A-D50C9DDC4310}"/>
    <cellStyle name="Calculation 5 8" xfId="950" xr:uid="{E0D3AB80-91AE-4E0B-810C-D5E21A4A030B}"/>
    <cellStyle name="Calculation 5 9" xfId="835" xr:uid="{3DEF24F9-F175-4681-8522-AC598D6A54D4}"/>
    <cellStyle name="Calculation 6" xfId="391" xr:uid="{9D3196F8-90B4-4F85-9686-9A3E82DF4A6E}"/>
    <cellStyle name="Calculation 6 10" xfId="966" xr:uid="{B03C0796-03E9-4949-9236-DBC62CD95EFA}"/>
    <cellStyle name="Calculation 6 11" xfId="819" xr:uid="{302E2FB5-C66A-43CF-BFC3-8C38ECB27101}"/>
    <cellStyle name="Calculation 6 12" xfId="981" xr:uid="{B998A845-7E52-4027-8F40-6529D1D1C97E}"/>
    <cellStyle name="Calculation 6 13" xfId="804" xr:uid="{BF4F0914-69E7-4FA9-902E-11DCB99DBCC2}"/>
    <cellStyle name="Calculation 6 14" xfId="997" xr:uid="{D3F1320D-27EE-4D49-8E0B-A2C82535B319}"/>
    <cellStyle name="Calculation 6 15" xfId="790" xr:uid="{8CC69B12-F337-4F06-8B66-DBD3BC388619}"/>
    <cellStyle name="Calculation 6 16" xfId="1012" xr:uid="{95066465-8576-4AF8-9A84-8B5AAC505159}"/>
    <cellStyle name="Calculation 6 17" xfId="775" xr:uid="{B795E968-67F6-4ABF-989E-DE8446D9357E}"/>
    <cellStyle name="Calculation 6 18" xfId="1041" xr:uid="{40EDA28D-1E97-46D8-8124-D7C98FE6F85A}"/>
    <cellStyle name="Calculation 6 19" xfId="746" xr:uid="{7EAC0424-715D-4402-B838-42E3580E2C8B}"/>
    <cellStyle name="Calculation 6 2" xfId="906" xr:uid="{A18F5C84-CDFF-459C-BCF5-292007561E67}"/>
    <cellStyle name="Calculation 6 20" xfId="1069" xr:uid="{2E0387FD-D2AF-4BF8-9AC3-2B836A663191}"/>
    <cellStyle name="Calculation 6 21" xfId="718" xr:uid="{AB5044FB-53CE-4637-BB27-0A30571CB2FE}"/>
    <cellStyle name="Calculation 6 22" xfId="1095" xr:uid="{1B53A13A-F6E3-402C-9CD8-6E56567CFFE7}"/>
    <cellStyle name="Calculation 6 23" xfId="691" xr:uid="{BB67B30B-9E7E-4B38-80E7-6219F48C1FF8}"/>
    <cellStyle name="Calculation 6 24" xfId="1150" xr:uid="{F132DDE4-9F2E-456F-8E58-BAAF93E27899}"/>
    <cellStyle name="Calculation 6 25" xfId="1222" xr:uid="{FE67F26F-E505-45BF-A880-DEF92A3FED39}"/>
    <cellStyle name="Calculation 6 26" xfId="1299" xr:uid="{7057AD4D-8575-4D63-A211-421F597D26F3}"/>
    <cellStyle name="Calculation 6 27" xfId="1376" xr:uid="{3FFBABD5-E072-4FB3-AB29-F7CAA55D900F}"/>
    <cellStyle name="Calculation 6 28" xfId="1452" xr:uid="{A6A2AB9B-6D05-4F6D-B9CF-A7CCFFD4BF03}"/>
    <cellStyle name="Calculation 6 29" xfId="1527" xr:uid="{80F95CBB-B932-446C-8FCB-5400F57F7CF5}"/>
    <cellStyle name="Calculation 6 3" xfId="877" xr:uid="{6F376202-63AB-4116-B007-B0B0DA9A767D}"/>
    <cellStyle name="Calculation 6 30" xfId="1605" xr:uid="{B057DB47-2CD3-4191-B041-E33886C5BF89}"/>
    <cellStyle name="Calculation 6 31" xfId="1674" xr:uid="{A8860219-0008-41D9-B4A0-96B2FE4450D0}"/>
    <cellStyle name="Calculation 6 32" xfId="1755" xr:uid="{DFC5C523-44F8-4A4F-9177-C4CF555ECAF9}"/>
    <cellStyle name="Calculation 6 4" xfId="922" xr:uid="{B7E1CE98-73A3-4DD3-BDB8-71E2EC0F75A9}"/>
    <cellStyle name="Calculation 6 5" xfId="864" xr:uid="{CE9CEAE8-044C-44C1-BA81-B230FDAA6BFF}"/>
    <cellStyle name="Calculation 6 6" xfId="936" xr:uid="{BC0A5B84-6B78-4571-ABAA-3BEFB9B790CA}"/>
    <cellStyle name="Calculation 6 7" xfId="849" xr:uid="{26723E57-18FE-4910-A44A-1B4AB3A4121E}"/>
    <cellStyle name="Calculation 6 8" xfId="951" xr:uid="{3BF6587D-973C-4740-8425-143C8ED95F22}"/>
    <cellStyle name="Calculation 6 9" xfId="834" xr:uid="{5309FB74-0B65-43FB-BC53-F3ECC20B40A4}"/>
    <cellStyle name="Calculation 7" xfId="392" xr:uid="{DD061D27-E84E-4DC6-82DC-64BCC02DE03C}"/>
    <cellStyle name="Calculation 7 10" xfId="967" xr:uid="{825A0CDD-6BDE-48C7-B6FF-C8CAB4C6B9CC}"/>
    <cellStyle name="Calculation 7 11" xfId="818" xr:uid="{EA0A06CC-5114-47CA-A6BD-792F71639001}"/>
    <cellStyle name="Calculation 7 12" xfId="982" xr:uid="{F7599E6E-BF05-40F0-BC4E-6B250FA38453}"/>
    <cellStyle name="Calculation 7 13" xfId="803" xr:uid="{AB1480FB-B013-4F4C-9CB3-CD8FCF5B2AB2}"/>
    <cellStyle name="Calculation 7 14" xfId="998" xr:uid="{B81276DB-3A33-4C97-970F-2FCEFC53724C}"/>
    <cellStyle name="Calculation 7 15" xfId="789" xr:uid="{491FEA49-D259-4C8A-B9FC-0CA3C44E7B15}"/>
    <cellStyle name="Calculation 7 16" xfId="671" xr:uid="{8A0584F2-06F0-4AFE-9DAB-98698C63F7C7}"/>
    <cellStyle name="Calculation 7 17" xfId="774" xr:uid="{736B6D2C-D883-4E21-A258-1840DDC4C6F8}"/>
    <cellStyle name="Calculation 7 18" xfId="1042" xr:uid="{0B37DA66-D05E-44E2-B178-33EC6E4A7B97}"/>
    <cellStyle name="Calculation 7 19" xfId="745" xr:uid="{A4785D56-D169-4CA3-BEF0-0BBCDB5343C5}"/>
    <cellStyle name="Calculation 7 2" xfId="907" xr:uid="{EFD23717-7074-48F6-BECB-EA2F22F10ED4}"/>
    <cellStyle name="Calculation 7 20" xfId="1070" xr:uid="{362F09EB-B4A2-4E12-8ACA-29AD51051C66}"/>
    <cellStyle name="Calculation 7 21" xfId="717" xr:uid="{7672D0AD-D2BF-4754-9A9A-C3084DA8F339}"/>
    <cellStyle name="Calculation 7 22" xfId="1253" xr:uid="{3D209134-D840-4F24-9AA0-A4D669230323}"/>
    <cellStyle name="Calculation 7 23" xfId="690" xr:uid="{A1F4963D-2481-419F-9C75-AC8C4BB15B6E}"/>
    <cellStyle name="Calculation 7 24" xfId="1151" xr:uid="{9C1953C8-7780-409D-BB41-4644781EB8A4}"/>
    <cellStyle name="Calculation 7 25" xfId="1223" xr:uid="{FEDCF7E9-CC01-4765-AA6F-1E8EFE027D7E}"/>
    <cellStyle name="Calculation 7 26" xfId="1300" xr:uid="{C8A6D06E-997B-483E-ADFC-05274E489169}"/>
    <cellStyle name="Calculation 7 27" xfId="1377" xr:uid="{AB439EB0-92BC-4F8B-855D-8E81B0A08B10}"/>
    <cellStyle name="Calculation 7 28" xfId="1453" xr:uid="{B1744EFA-6397-4F7A-9872-CB6A5A7BF4DE}"/>
    <cellStyle name="Calculation 7 29" xfId="1528" xr:uid="{2568A5A6-7E7B-4466-8A94-3B9EC6CE235A}"/>
    <cellStyle name="Calculation 7 3" xfId="876" xr:uid="{20D21867-92FD-473B-AFE3-883B25FB061B}"/>
    <cellStyle name="Calculation 7 30" xfId="2100" xr:uid="{F5F39F1B-C57A-4FD9-9959-7CC7D771361A}"/>
    <cellStyle name="Calculation 7 31" xfId="1675" xr:uid="{5734B701-1B5A-491C-BB24-B8B8900DC641}"/>
    <cellStyle name="Calculation 7 32" xfId="2226" xr:uid="{66DC9B88-6CC4-4265-8CD5-F15AD553A69B}"/>
    <cellStyle name="Calculation 7 4" xfId="923" xr:uid="{DC9C068B-941F-4B86-AFA9-3C953B0A720F}"/>
    <cellStyle name="Calculation 7 5" xfId="863" xr:uid="{3C3C92B5-84B4-4C2F-9616-01F71C15B01A}"/>
    <cellStyle name="Calculation 7 6" xfId="937" xr:uid="{52004010-50AA-4E37-8121-38BA3CBA58DA}"/>
    <cellStyle name="Calculation 7 7" xfId="848" xr:uid="{6F816832-0E22-4294-A938-191B5F2E5A2C}"/>
    <cellStyle name="Calculation 7 8" xfId="952" xr:uid="{12347498-183D-4CFF-B904-43EE250E696F}"/>
    <cellStyle name="Calculation 7 9" xfId="833" xr:uid="{3024716A-CA03-4F65-811B-3DB2F5A064ED}"/>
    <cellStyle name="Calculation 8" xfId="393" xr:uid="{8A49B35B-50E2-44E4-9B32-077336655BE9}"/>
    <cellStyle name="Calculation 8 10" xfId="968" xr:uid="{430A4F4C-1490-4E89-82EE-F71D00E4D5E5}"/>
    <cellStyle name="Calculation 8 11" xfId="817" xr:uid="{5B21D071-2017-42F9-8E45-62EA2F8FAD7B}"/>
    <cellStyle name="Calculation 8 12" xfId="983" xr:uid="{7549CBD7-3FDC-41B2-81AA-11595A40DDDD}"/>
    <cellStyle name="Calculation 8 13" xfId="802" xr:uid="{09468E6C-3D55-4C0F-A086-AEAEF929C746}"/>
    <cellStyle name="Calculation 8 14" xfId="999" xr:uid="{89722B6A-8D5E-45F9-9C0F-4B042FF7CC00}"/>
    <cellStyle name="Calculation 8 15" xfId="788" xr:uid="{85AA1316-9BF7-4E5E-AE83-24CBCCD87A91}"/>
    <cellStyle name="Calculation 8 16" xfId="1028" xr:uid="{1FA435C6-FA8C-48FA-846A-97EC43882F46}"/>
    <cellStyle name="Calculation 8 17" xfId="773" xr:uid="{E5557602-8DAD-45E3-813D-8C69D0A2E6F8}"/>
    <cellStyle name="Calculation 8 18" xfId="1043" xr:uid="{7D7FADDE-C62C-4122-98CB-2D0EC796B9CB}"/>
    <cellStyle name="Calculation 8 19" xfId="744" xr:uid="{69EACE7F-8557-421C-8C7D-F25DCEC36685}"/>
    <cellStyle name="Calculation 8 2" xfId="908" xr:uid="{8B3992E3-A59C-4815-87EC-431E22352457}"/>
    <cellStyle name="Calculation 8 20" xfId="1071" xr:uid="{BBAC22AF-4A0D-4AC3-835C-9C8D9A677226}"/>
    <cellStyle name="Calculation 8 21" xfId="716" xr:uid="{B6344C23-F5C2-4EBC-AE40-780DA2E9BD2B}"/>
    <cellStyle name="Calculation 8 22" xfId="1560" xr:uid="{8BA1FA7C-0B68-4FD9-B311-4FBA7730ADCE}"/>
    <cellStyle name="Calculation 8 23" xfId="1331" xr:uid="{FFDADE5C-5C7D-420E-9A9E-F7ED1066FA11}"/>
    <cellStyle name="Calculation 8 24" xfId="1408" xr:uid="{D4DB373B-CB3D-4D3F-B1CD-9AF5FCFD6CEC}"/>
    <cellStyle name="Calculation 8 25" xfId="1483" xr:uid="{065276A2-1856-48B3-B458-39AA7E0A52A4}"/>
    <cellStyle name="Calculation 8 26" xfId="1559" xr:uid="{A649CA8F-1A04-42B9-AF14-1442440C1B5B}"/>
    <cellStyle name="Calculation 8 27" xfId="1634" xr:uid="{89A57FF4-5176-4138-8EEA-319726C76EC4}"/>
    <cellStyle name="Calculation 8 28" xfId="1708" xr:uid="{55F8872C-C2F6-4F2F-9117-E42C559C2E00}"/>
    <cellStyle name="Calculation 8 29" xfId="1784" xr:uid="{E2BF6E23-385E-4590-8135-1CB1398FBB39}"/>
    <cellStyle name="Calculation 8 3" xfId="875" xr:uid="{8F1A258B-D9A0-41DD-999D-CDD90FA4E8E1}"/>
    <cellStyle name="Calculation 8 30" xfId="1745" xr:uid="{89813C19-4CD6-484E-90A4-D260644FA5F1}"/>
    <cellStyle name="Calculation 8 31" xfId="1676" xr:uid="{D66100FB-8F2C-4D96-8CBC-F321ECE74079}"/>
    <cellStyle name="Calculation 8 32" xfId="1885" xr:uid="{1CA1D990-425F-435B-B33C-64B6384B68FA}"/>
    <cellStyle name="Calculation 8 4" xfId="924" xr:uid="{2C18FCB6-E880-4FBE-8D69-8FADED1F4DBD}"/>
    <cellStyle name="Calculation 8 5" xfId="862" xr:uid="{5D466BA9-30CE-41FF-876D-C57BB19556DB}"/>
    <cellStyle name="Calculation 8 6" xfId="938" xr:uid="{4FB7DDDD-2C57-4C01-BB9B-1634A9909636}"/>
    <cellStyle name="Calculation 8 7" xfId="847" xr:uid="{7B7721AE-623F-41DE-B03D-1EFDD229A817}"/>
    <cellStyle name="Calculation 8 8" xfId="953" xr:uid="{A05F6F15-1A9F-44D9-A125-DB8652E90C76}"/>
    <cellStyle name="Calculation 8 9" xfId="832" xr:uid="{51EDF8F3-5B8D-46D3-B102-51078C2CC66A}"/>
    <cellStyle name="Calculation 9" xfId="394" xr:uid="{423BA9D5-4D66-4DC2-BE09-F0F66294D9AA}"/>
    <cellStyle name="Calculation 9 10" xfId="969" xr:uid="{48B16286-AC54-4088-9B52-AD87F8E272EC}"/>
    <cellStyle name="Calculation 9 11" xfId="816" xr:uid="{1787E23B-B8B4-44B3-8D4B-0D87CCB48871}"/>
    <cellStyle name="Calculation 9 12" xfId="984" xr:uid="{2772AA73-511E-4913-8B1D-0DAB7FB8F56D}"/>
    <cellStyle name="Calculation 9 13" xfId="801" xr:uid="{5A3239D3-A4BE-4902-8A76-5481F298C281}"/>
    <cellStyle name="Calculation 9 14" xfId="1000" xr:uid="{7F562368-21B8-4DBD-A8BA-A33DDBCA24F7}"/>
    <cellStyle name="Calculation 9 15" xfId="787" xr:uid="{378465E3-6C82-49D2-AB3F-BBB180C82ADE}"/>
    <cellStyle name="Calculation 9 16" xfId="1029" xr:uid="{69FB1C21-837A-4110-9AF1-709351FC5520}"/>
    <cellStyle name="Calculation 9 17" xfId="772" xr:uid="{0C168C86-2B6C-491B-9E58-77BC32F3D7EA}"/>
    <cellStyle name="Calculation 9 18" xfId="1044" xr:uid="{2F6A1AAC-A9B1-421E-88B8-A0B8C9E35E8D}"/>
    <cellStyle name="Calculation 9 19" xfId="743" xr:uid="{A07199C9-D928-414B-84FC-72AD1E7C8D1D}"/>
    <cellStyle name="Calculation 9 2" xfId="909" xr:uid="{F04BE4D7-BB85-4112-BBFD-150228B13DBD}"/>
    <cellStyle name="Calculation 9 20" xfId="1409" xr:uid="{42123AAD-D1DA-4715-A91F-1ED3E8931E9C}"/>
    <cellStyle name="Calculation 9 21" xfId="715" xr:uid="{2DFD9961-606E-4127-B715-DE995E79D03C}"/>
    <cellStyle name="Calculation 9 22" xfId="1142" xr:uid="{040E2357-D705-499B-B8D7-5974DAF0C659}"/>
    <cellStyle name="Calculation 9 23" xfId="688" xr:uid="{EE7AF450-3455-4693-B79E-B6C587252F6C}"/>
    <cellStyle name="Calculation 9 24" xfId="1168" xr:uid="{D332056B-F297-4FD1-AEF1-28E03A358CD3}"/>
    <cellStyle name="Calculation 9 25" xfId="1329" xr:uid="{FE229AC0-7B58-413B-87B5-0394FF9B21AC}"/>
    <cellStyle name="Calculation 9 26" xfId="1406" xr:uid="{166EDCA0-E1FF-4816-8054-D28752ACFEC9}"/>
    <cellStyle name="Calculation 9 27" xfId="1481" xr:uid="{C90FB878-8BCC-4222-B990-4A680D4D05E7}"/>
    <cellStyle name="Calculation 9 28" xfId="1557" xr:uid="{7F566A08-7F4B-47D2-B08A-DDE2762F11D9}"/>
    <cellStyle name="Calculation 9 29" xfId="2039" xr:uid="{D068B207-0818-4CF6-8391-113F0B679E47}"/>
    <cellStyle name="Calculation 9 3" xfId="874" xr:uid="{CF26DC6F-8983-4184-9150-C32B0AE62847}"/>
    <cellStyle name="Calculation 9 30" xfId="1977" xr:uid="{B3EF137B-C0D6-4625-9672-20C8B712CD56}"/>
    <cellStyle name="Calculation 9 31" xfId="1677" xr:uid="{01C0567A-3A97-47FD-A8CA-D29D74224625}"/>
    <cellStyle name="Calculation 9 32" xfId="2101" xr:uid="{946AB8A2-3B82-4D33-84DF-A5D7CC47D930}"/>
    <cellStyle name="Calculation 9 4" xfId="925" xr:uid="{3B354362-D257-4634-BAEC-EC13F4E4C8FB}"/>
    <cellStyle name="Calculation 9 5" xfId="861" xr:uid="{E2F14E71-8E32-4159-8701-9632D8025804}"/>
    <cellStyle name="Calculation 9 6" xfId="939" xr:uid="{4065101C-3456-4CB2-BD4B-CF9445DDF6C1}"/>
    <cellStyle name="Calculation 9 7" xfId="846" xr:uid="{38DDD9E9-130C-4217-9D04-4F23221B6F4F}"/>
    <cellStyle name="Calculation 9 8" xfId="954" xr:uid="{2B56D793-0970-4249-93C4-A2FC80004D06}"/>
    <cellStyle name="Calculation 9 9" xfId="831" xr:uid="{25EF31DB-7AE1-4DED-8EAB-BB7CB9E0234A}"/>
    <cellStyle name="Check Cell 10" xfId="395" xr:uid="{1BFCA7E7-1199-4E1A-83E6-D46412F47455}"/>
    <cellStyle name="Check Cell 11" xfId="396" xr:uid="{2A626A4B-A1E3-4A5D-850D-859E6CB636C6}"/>
    <cellStyle name="Check Cell 12" xfId="397" xr:uid="{24636A05-4C7C-4E6C-AE43-A77B4941C074}"/>
    <cellStyle name="Check Cell 13" xfId="398" xr:uid="{F5C0A107-7C3C-499E-BAB8-A1772EEFE8DE}"/>
    <cellStyle name="Check Cell 14" xfId="399" xr:uid="{53C92F3D-907A-4777-B6EF-9AA83D41A345}"/>
    <cellStyle name="Check Cell 15" xfId="400" xr:uid="{FEBE267F-61AB-4FAF-8AEA-BE416919C809}"/>
    <cellStyle name="Check Cell 16" xfId="401" xr:uid="{9B94944A-A1BF-44FF-8BAE-3A0C5EE42F44}"/>
    <cellStyle name="Check Cell 2" xfId="402" xr:uid="{D92F25FE-08F5-4A46-BD76-D1AA9C028428}"/>
    <cellStyle name="Check Cell 3" xfId="403" xr:uid="{C1393E2B-9BC5-4A37-AD04-3B6C9D5455A6}"/>
    <cellStyle name="Check Cell 4" xfId="404" xr:uid="{754E1DDC-5848-4D0D-A4D5-EA05E0CE7905}"/>
    <cellStyle name="Check Cell 5" xfId="405" xr:uid="{2624482F-9755-4A50-8173-2C46AAD758B6}"/>
    <cellStyle name="Check Cell 6" xfId="406" xr:uid="{061993B0-7D7A-4B90-863C-AD5B36CDF67D}"/>
    <cellStyle name="Check Cell 7" xfId="407" xr:uid="{109D1534-0D1C-4459-8790-CF69ABD72E10}"/>
    <cellStyle name="Check Cell 8" xfId="408" xr:uid="{9295ED78-F776-4B40-8212-58C02978F08B}"/>
    <cellStyle name="Check Cell 9" xfId="409" xr:uid="{62E2D35E-9D8D-4192-9B38-5071A71BB8D4}"/>
    <cellStyle name="Explanatory Text 10" xfId="410" xr:uid="{DD57E45A-AB98-4692-AD49-31314CBA3D0A}"/>
    <cellStyle name="Explanatory Text 11" xfId="411" xr:uid="{FB92A67E-7394-41A5-9151-92474C5A6F1F}"/>
    <cellStyle name="Explanatory Text 12" xfId="412" xr:uid="{C8CA84D7-42F3-46F4-B557-7BDADE175DEA}"/>
    <cellStyle name="Explanatory Text 13" xfId="413" xr:uid="{47D794A5-512F-4F5A-8CD3-7F757A645205}"/>
    <cellStyle name="Explanatory Text 14" xfId="414" xr:uid="{5757F6CA-16A8-4609-8B2D-FD752A429D4B}"/>
    <cellStyle name="Explanatory Text 15" xfId="415" xr:uid="{93E679A5-4902-4659-A800-B52EDC47CED1}"/>
    <cellStyle name="Explanatory Text 16" xfId="416" xr:uid="{1B96E91D-F008-4B4C-AF75-E4E1C01DD1D3}"/>
    <cellStyle name="Explanatory Text 2" xfId="417" xr:uid="{C9DE151E-D3D1-4DCA-A006-C478C43B35B1}"/>
    <cellStyle name="Explanatory Text 3" xfId="418" xr:uid="{D6AE7D94-14CA-4FCF-A988-047A44AFA048}"/>
    <cellStyle name="Explanatory Text 4" xfId="419" xr:uid="{9298A1BD-59E0-47E1-B11D-985A847BCDC3}"/>
    <cellStyle name="Explanatory Text 5" xfId="420" xr:uid="{2D3633CE-9F89-404F-9C72-C695562832E1}"/>
    <cellStyle name="Explanatory Text 6" xfId="421" xr:uid="{5B4633D8-FBC7-4069-8B79-DE03A33DF378}"/>
    <cellStyle name="Explanatory Text 7" xfId="422" xr:uid="{2E2D6E33-48C7-4BFE-AD50-3871098D6317}"/>
    <cellStyle name="Explanatory Text 8" xfId="423" xr:uid="{30B9D416-9D09-45C4-B2AF-4E7D4889DA20}"/>
    <cellStyle name="Explanatory Text 9" xfId="424" xr:uid="{EC7622FD-6418-482B-8DA4-32359B4234B1}"/>
    <cellStyle name="Good 10" xfId="425" xr:uid="{8748676C-D63C-4678-9A38-ACB2A8A0E6E9}"/>
    <cellStyle name="Good 11" xfId="426" xr:uid="{F37BBEE9-FB1D-42CF-A16E-4BBB6AA279AD}"/>
    <cellStyle name="Good 12" xfId="427" xr:uid="{A487495B-EB08-460F-8B42-0522FC3719AD}"/>
    <cellStyle name="Good 13" xfId="428" xr:uid="{07825712-5DCB-4A9F-82ED-D24FE2F05718}"/>
    <cellStyle name="Good 14" xfId="429" xr:uid="{0248C049-0825-43E0-A5B6-6445E7F207EF}"/>
    <cellStyle name="Good 15" xfId="430" xr:uid="{27D82309-514C-4080-9893-6FAD3DB76287}"/>
    <cellStyle name="Good 16" xfId="431" xr:uid="{73E5B84A-FDFC-4169-B71A-F6C46566F40E}"/>
    <cellStyle name="Good 2" xfId="432" xr:uid="{2DAA65FE-8E87-43E3-90DA-9D7C1FF3D7A2}"/>
    <cellStyle name="Good 3" xfId="433" xr:uid="{F7E13D96-0812-4897-A273-139F3B7FAC01}"/>
    <cellStyle name="Good 4" xfId="434" xr:uid="{0C93D26A-2838-41E9-AD66-9DFD308D5525}"/>
    <cellStyle name="Good 5" xfId="435" xr:uid="{BEB62A79-7C08-43CA-AA77-F88EBB4C8B78}"/>
    <cellStyle name="Good 6" xfId="436" xr:uid="{9A3F36C2-ADE3-4079-BB77-C1236BAD69C4}"/>
    <cellStyle name="Good 7" xfId="437" xr:uid="{3E6EFBBC-B8E6-41C4-A22A-A3453DBF656E}"/>
    <cellStyle name="Good 8" xfId="438" xr:uid="{5155E09D-5243-490C-B1B3-2A366B9B27FC}"/>
    <cellStyle name="Good 9" xfId="439" xr:uid="{93EE34CD-DC49-4B22-88D7-DD23D6566CD6}"/>
    <cellStyle name="Heading 1 10" xfId="440" xr:uid="{640AF80F-2B4C-4A17-8AF0-12F52CFAE62F}"/>
    <cellStyle name="Heading 1 11" xfId="441" xr:uid="{C26D6084-3248-4378-A053-62E9844CCC35}"/>
    <cellStyle name="Heading 1 12" xfId="442" xr:uid="{A6E001B8-9BC6-4597-AD13-3E66CA71CB32}"/>
    <cellStyle name="Heading 1 13" xfId="443" xr:uid="{98484392-5923-4E0C-84D8-B8EE98EB3B2B}"/>
    <cellStyle name="Heading 1 14" xfId="444" xr:uid="{297B1742-D6AA-4C9F-AB3D-A2E47CE1821C}"/>
    <cellStyle name="Heading 1 15" xfId="445" xr:uid="{68F41137-0C62-40D1-8B91-BCCA8295D397}"/>
    <cellStyle name="Heading 1 16" xfId="446" xr:uid="{C0028C60-A52F-4C8B-B66B-207ECF9A50DF}"/>
    <cellStyle name="Heading 1 2" xfId="447" xr:uid="{84A13088-79C3-4F5B-A4A6-FE5DCE61A65C}"/>
    <cellStyle name="Heading 1 3" xfId="448" xr:uid="{53AA4358-2858-47DB-B7A0-02EA4893F2C1}"/>
    <cellStyle name="Heading 1 4" xfId="449" xr:uid="{9B3BEF3B-DD88-4349-9AF8-836D08483BD0}"/>
    <cellStyle name="Heading 1 5" xfId="450" xr:uid="{656BD769-7CD6-4B74-8203-03FE60A6325F}"/>
    <cellStyle name="Heading 1 6" xfId="451" xr:uid="{99323BEB-478C-47E6-A848-97759C0BD5D0}"/>
    <cellStyle name="Heading 1 7" xfId="452" xr:uid="{D3ED0B7F-D540-4884-8D5D-63D65B1AD8CF}"/>
    <cellStyle name="Heading 1 8" xfId="453" xr:uid="{E0A0514C-3795-4A49-8192-930C71C1015C}"/>
    <cellStyle name="Heading 1 9" xfId="454" xr:uid="{BE122097-AB78-48A1-82BB-E344EFC8CCF5}"/>
    <cellStyle name="Heading 2 10" xfId="455" xr:uid="{A91F32DC-E12D-4FA5-AC11-3AEFC48395EB}"/>
    <cellStyle name="Heading 2 11" xfId="456" xr:uid="{1270FE07-1A80-4F09-94B9-CD1A46E54A4C}"/>
    <cellStyle name="Heading 2 12" xfId="457" xr:uid="{3241E0AA-2E72-4C6F-9951-0DD7CD2689DA}"/>
    <cellStyle name="Heading 2 13" xfId="458" xr:uid="{267EB77A-CC7F-45D4-A789-F6243593E983}"/>
    <cellStyle name="Heading 2 14" xfId="459" xr:uid="{3EF69753-1AD1-439D-AEE4-C21FC0847719}"/>
    <cellStyle name="Heading 2 15" xfId="460" xr:uid="{482AC024-B30C-418D-AD25-472277C6456E}"/>
    <cellStyle name="Heading 2 16" xfId="461" xr:uid="{BCCD1D6D-C196-4F73-957C-26E5D9A88D19}"/>
    <cellStyle name="Heading 2 2" xfId="462" xr:uid="{3825F797-62FC-4E95-B571-06CFA39228B3}"/>
    <cellStyle name="Heading 2 3" xfId="463" xr:uid="{7E6A2630-CAD2-442B-A7C7-227D751B9EF7}"/>
    <cellStyle name="Heading 2 4" xfId="464" xr:uid="{071B21CB-C770-4820-AEF7-033265CD0EB7}"/>
    <cellStyle name="Heading 2 5" xfId="465" xr:uid="{E370A0F2-CC17-4D90-BE89-F658A5BA3DC0}"/>
    <cellStyle name="Heading 2 6" xfId="466" xr:uid="{A5D67491-34E3-4BEB-AC88-BCC2257C5E04}"/>
    <cellStyle name="Heading 2 7" xfId="467" xr:uid="{172C2B50-BBAB-4306-AE36-685541FA208E}"/>
    <cellStyle name="Heading 2 8" xfId="468" xr:uid="{46FE2FAB-5A70-4AD4-ABCE-EAB69DCCFA14}"/>
    <cellStyle name="Heading 2 9" xfId="469" xr:uid="{F7DA39D7-32C6-4670-99B3-E56A1A8D7056}"/>
    <cellStyle name="Heading 3 10" xfId="470" xr:uid="{C178A22A-C7C1-43DC-9097-19056F4A6771}"/>
    <cellStyle name="Heading 3 11" xfId="471" xr:uid="{D7680A3A-FA75-47FE-BDC8-98A180DE4541}"/>
    <cellStyle name="Heading 3 12" xfId="472" xr:uid="{B71FE7A9-EFEF-470A-AC82-5B791BBAC967}"/>
    <cellStyle name="Heading 3 13" xfId="473" xr:uid="{4DA1C4FB-B2AF-477C-8DBB-3850055218C8}"/>
    <cellStyle name="Heading 3 14" xfId="474" xr:uid="{124DF9ED-52AD-40E1-A9E6-93D05180A25E}"/>
    <cellStyle name="Heading 3 15" xfId="475" xr:uid="{963CC3A8-8C84-40E5-B394-524B96A460EA}"/>
    <cellStyle name="Heading 3 16" xfId="476" xr:uid="{77C1B5EB-979C-48E3-AE2E-1797D6CAE69F}"/>
    <cellStyle name="Heading 3 2" xfId="477" xr:uid="{8C39C20C-7D49-4667-9D42-4E1510990945}"/>
    <cellStyle name="Heading 3 3" xfId="478" xr:uid="{06B7D7B3-83D6-499D-B98C-1D00C93A0D74}"/>
    <cellStyle name="Heading 3 4" xfId="479" xr:uid="{EE613388-2F95-4FD8-A708-4688FF5AF5DB}"/>
    <cellStyle name="Heading 3 5" xfId="480" xr:uid="{BA31894D-904B-43E9-BA43-6510BB51A203}"/>
    <cellStyle name="Heading 3 6" xfId="481" xr:uid="{F7E797DC-3C13-4A33-BB25-C3D5FB16CEC6}"/>
    <cellStyle name="Heading 3 7" xfId="482" xr:uid="{A2567840-2F19-41BC-8028-75E7575ED1EB}"/>
    <cellStyle name="Heading 3 8" xfId="483" xr:uid="{8C9FACBE-7B04-4613-802B-07D3FE3E0AB8}"/>
    <cellStyle name="Heading 3 9" xfId="484" xr:uid="{2DB3BDC0-4B33-4A22-9789-C91BA5A0357A}"/>
    <cellStyle name="Heading 4 10" xfId="485" xr:uid="{B9D6D114-0D1B-4EEC-96B1-56C131DFCBA2}"/>
    <cellStyle name="Heading 4 11" xfId="486" xr:uid="{EF259F42-9047-4586-B3AD-44A108C2A4AF}"/>
    <cellStyle name="Heading 4 12" xfId="487" xr:uid="{93E7D0B3-82FD-4B02-9685-B793B0B87FDB}"/>
    <cellStyle name="Heading 4 13" xfId="488" xr:uid="{79813B2F-43A4-4347-A1CD-A28F32A6A8C6}"/>
    <cellStyle name="Heading 4 14" xfId="489" xr:uid="{8A5D3515-0D49-474F-B06A-64659D78A6A1}"/>
    <cellStyle name="Heading 4 15" xfId="490" xr:uid="{DB0FA728-A36C-4BF6-9734-4606E9FC29E6}"/>
    <cellStyle name="Heading 4 16" xfId="491" xr:uid="{2EBFD056-A7D7-4C01-BCF8-01A5010053FB}"/>
    <cellStyle name="Heading 4 2" xfId="492" xr:uid="{13206AC5-877A-4756-9233-48B986904ABB}"/>
    <cellStyle name="Heading 4 3" xfId="493" xr:uid="{39B63AD4-AB70-49D7-AC79-4A3A4BF62ABD}"/>
    <cellStyle name="Heading 4 4" xfId="494" xr:uid="{AF668779-CCC1-473F-B70D-C6CED4F54E8A}"/>
    <cellStyle name="Heading 4 5" xfId="495" xr:uid="{B45453DC-C791-49F6-9A44-21D46B4CD45B}"/>
    <cellStyle name="Heading 4 6" xfId="496" xr:uid="{0EE6ACB9-2E05-4DEC-B57B-FD0C40FC494E}"/>
    <cellStyle name="Heading 4 7" xfId="497" xr:uid="{B9CB0F2A-6E5A-4550-99C5-BB55593EFEDD}"/>
    <cellStyle name="Heading 4 8" xfId="498" xr:uid="{AE7109E3-2832-4ACB-8204-F9B435206D1C}"/>
    <cellStyle name="Heading 4 9" xfId="499" xr:uid="{3EE60E59-C6F6-4B26-A095-C36BB0A994B8}"/>
    <cellStyle name="Input 10" xfId="500" xr:uid="{E876914E-D3FE-4425-B436-2BFFD1DCE429}"/>
    <cellStyle name="Input 10 10" xfId="1251" xr:uid="{EE4EFAF8-0BBC-4B3D-9A9E-EB8176A3273B}"/>
    <cellStyle name="Input 10 11" xfId="1225" xr:uid="{827D07C5-CB51-4ED2-AC6C-D43D60A976B3}"/>
    <cellStyle name="Input 10 12" xfId="1302" xr:uid="{FDA2390B-1B4B-4AC9-AD2E-3422CE947D56}"/>
    <cellStyle name="Input 10 13" xfId="1379" xr:uid="{73B75D5B-4DED-4AC5-BE87-669918A3FCB1}"/>
    <cellStyle name="Input 10 14" xfId="1455" xr:uid="{C92BFD08-FBB4-42B2-BE91-69B394738424}"/>
    <cellStyle name="Input 10 15" xfId="1632" xr:uid="{546A974B-2148-41A7-841D-55BF223B6E65}"/>
    <cellStyle name="Input 10 16" xfId="1606" xr:uid="{A3D257EA-CA2A-4D93-882A-9523DFBD8A09}"/>
    <cellStyle name="Input 10 17" xfId="1782" xr:uid="{43ED9763-7823-4DD9-BA01-CD8956F9C8D7}"/>
    <cellStyle name="Input 10 18" xfId="1756" xr:uid="{89FA58C5-CCBB-4E06-9EF3-81CB7D8E71A8}"/>
    <cellStyle name="Input 10 19" xfId="1913" xr:uid="{5FBE9562-6FBD-4CB2-8A5B-3EC8D9277400}"/>
    <cellStyle name="Input 10 2" xfId="1013" xr:uid="{F4C6F4D6-779F-4B5B-B4D2-AFFC0F265464}"/>
    <cellStyle name="Input 10 20" xfId="1887" xr:uid="{CA1AE7D5-8168-44E7-B521-7C5F3EDF34DC}"/>
    <cellStyle name="Input 10 21" xfId="1949" xr:uid="{F07E585A-6EF4-493A-8CD3-574AF05301A2}"/>
    <cellStyle name="Input 10 22" xfId="2013" xr:uid="{A9A25A57-E849-4066-ABA8-995B89EC7E7F}"/>
    <cellStyle name="Input 10 23" xfId="2074" xr:uid="{E65EC877-EDC3-44AD-BA25-1E70E85CAB0A}"/>
    <cellStyle name="Input 10 24" xfId="2225" xr:uid="{E02D1CDA-B78E-4F14-8327-2E45F2765EF1}"/>
    <cellStyle name="Input 10 25" xfId="2199" xr:uid="{CE00B5B1-3B70-4A87-B41D-304AE0C92FE7}"/>
    <cellStyle name="Input 10 26" xfId="2469" xr:uid="{5CF5DF3D-BBBA-48F3-9787-4337A7761868}"/>
    <cellStyle name="Input 10 27" xfId="2320" xr:uid="{92CF417D-7A8A-4D62-BD3C-C94F13B6479C}"/>
    <cellStyle name="Input 10 28" xfId="2380" xr:uid="{D304F139-7CA0-44EE-9EA1-8F083D65CA9F}"/>
    <cellStyle name="Input 10 29" xfId="2443" xr:uid="{43D51974-9852-46AE-8614-EDCF7B6E3A62}"/>
    <cellStyle name="Input 10 3" xfId="768" xr:uid="{A2D1AB40-A8B5-404D-BDC8-0DC451D99298}"/>
    <cellStyle name="Input 10 30" xfId="2518" xr:uid="{184348CF-C7CF-4E11-A8D9-2C83FEB41EF5}"/>
    <cellStyle name="Input 10 31" xfId="2561" xr:uid="{3B2EC8A5-7014-47CB-803E-B845EA78BAF5}"/>
    <cellStyle name="Input 10 32" xfId="2640" xr:uid="{19B251FA-AC18-49E7-8433-4F422E573AFC}"/>
    <cellStyle name="Input 10 4" xfId="1045" xr:uid="{A4E3352B-81F1-4348-AD37-7F48AAB15125}"/>
    <cellStyle name="Input 10 5" xfId="741" xr:uid="{12F28CD8-E1DC-4B3A-A171-B9D93789CA53}"/>
    <cellStyle name="Input 10 6" xfId="1072" xr:uid="{85032FA9-D9F5-4405-BBB3-58086AC929A9}"/>
    <cellStyle name="Input 10 7" xfId="1180" xr:uid="{7A517820-615D-4B93-A1E9-E69D8351EFD4}"/>
    <cellStyle name="Input 10 8" xfId="1097" xr:uid="{D8DFA127-6E80-4EBD-8AE1-5E24E172A2C0}"/>
    <cellStyle name="Input 10 9" xfId="687" xr:uid="{B7C3B201-8858-4CE0-8628-14FDF23075F8}"/>
    <cellStyle name="Input 11" xfId="501" xr:uid="{D3548798-F87C-4B89-8B7A-30DB0CA38C82}"/>
    <cellStyle name="Input 11 10" xfId="1169" xr:uid="{76FB0077-BFD0-4B1F-8365-27D7A31294A2}"/>
    <cellStyle name="Input 11 11" xfId="1226" xr:uid="{DE7B4D2C-967E-453A-88CD-319D896D0DD6}"/>
    <cellStyle name="Input 11 12" xfId="1303" xr:uid="{45EFFCA4-4C85-48D2-9C69-506D82FD095B}"/>
    <cellStyle name="Input 11 13" xfId="1380" xr:uid="{4BC9F51E-4014-44C6-B654-15453B9106B8}"/>
    <cellStyle name="Input 11 14" xfId="1471" xr:uid="{429374A3-6326-4926-B07F-4CDC7AEBC41A}"/>
    <cellStyle name="Input 11 15" xfId="1530" xr:uid="{DB1F47E3-F608-4815-9B46-2A1D00774DBC}"/>
    <cellStyle name="Input 11 16" xfId="1622" xr:uid="{7D7BBF1C-CA88-4751-8325-040EC63A99F4}"/>
    <cellStyle name="Input 11 17" xfId="1679" xr:uid="{B9896E4F-3A8D-43B0-AF2C-AF649C720606}"/>
    <cellStyle name="Input 11 18" xfId="1772" xr:uid="{FFCCF343-5A8A-4668-AFB8-1330883AFE7F}"/>
    <cellStyle name="Input 11 19" xfId="1820" xr:uid="{F51AEA52-074B-4381-8683-F306EC25E8FC}"/>
    <cellStyle name="Input 11 2" xfId="1014" xr:uid="{9701AEF8-AC79-4912-9CE9-1A61465FB8AE}"/>
    <cellStyle name="Input 11 20" xfId="1903" xr:uid="{D6053B3A-1DC8-4283-8D93-DC39CC97B0B5}"/>
    <cellStyle name="Input 11 21" xfId="1950" xr:uid="{80CCBAE9-A58E-4367-9AE9-8CCB8EC72DAC}"/>
    <cellStyle name="Input 11 22" xfId="2029" xr:uid="{EA737553-0E3A-40E7-ADB9-30C27F1A14F6}"/>
    <cellStyle name="Input 11 23" xfId="2090" xr:uid="{8952105F-C771-4D72-A53E-B985541A4E1F}"/>
    <cellStyle name="Input 11 24" xfId="2137" xr:uid="{3CBAAF59-BC27-454F-B924-D1A31A42E938}"/>
    <cellStyle name="Input 11 25" xfId="2215" xr:uid="{B69A9305-4E9E-42E2-AA97-70D52C99CF08}"/>
    <cellStyle name="Input 11 26" xfId="2259" xr:uid="{5871D378-00D6-4CEC-87BB-CE38BC27FFE2}"/>
    <cellStyle name="Input 11 27" xfId="2336" xr:uid="{78E20C24-B0C8-497C-9C2C-13A162FAB687}"/>
    <cellStyle name="Input 11 28" xfId="2468" xr:uid="{C71E13E4-F18D-4212-8F05-0732A838EDCF}"/>
    <cellStyle name="Input 11 29" xfId="2459" xr:uid="{FEC371D1-B62C-4D66-8BBF-61296EB1B0C0}"/>
    <cellStyle name="Input 11 3" xfId="767" xr:uid="{8F7231D7-2540-482F-8D67-CFED8452EC59}"/>
    <cellStyle name="Input 11 30" xfId="2519" xr:uid="{32DB15D6-B27B-4B73-BE8F-D5A8F7ECFD34}"/>
    <cellStyle name="Input 11 31" xfId="2562" xr:uid="{BFBE7F8D-5813-4D46-A81D-891BD06EB782}"/>
    <cellStyle name="Input 11 32" xfId="2641" xr:uid="{1283E870-3738-4952-938F-522BB878C158}"/>
    <cellStyle name="Input 11 4" xfId="1046" xr:uid="{C72918E5-FC81-4F4C-8AA7-8BB10E3AE323}"/>
    <cellStyle name="Input 11 5" xfId="740" xr:uid="{509F8271-680E-4AA1-A426-D7B8688BC0B6}"/>
    <cellStyle name="Input 11 6" xfId="1073" xr:uid="{C45B109A-6C22-49A6-B5E5-F2336AD9A389}"/>
    <cellStyle name="Input 11 7" xfId="712" xr:uid="{B42075A7-8649-402E-BC97-BD82020F0AFB}"/>
    <cellStyle name="Input 11 8" xfId="1098" xr:uid="{C5790740-2F65-428C-82FE-4DE2EDAF1051}"/>
    <cellStyle name="Input 11 9" xfId="1178" xr:uid="{0B19DEE5-B785-4DFA-B02D-4812B7BAAA7E}"/>
    <cellStyle name="Input 12" xfId="502" xr:uid="{C4ADF14E-5D6B-48B3-B8DF-363CAE52724E}"/>
    <cellStyle name="Input 12 10" xfId="1170" xr:uid="{F9C1E153-B7AA-48D7-B743-CFA847153F87}"/>
    <cellStyle name="Input 12 11" xfId="1227" xr:uid="{DBF3BCA3-1DBD-4ABA-8088-81EE7C5DC9C5}"/>
    <cellStyle name="Input 12 12" xfId="1304" xr:uid="{2D656CB7-1B2F-494E-9C8A-F2592888C6AE}"/>
    <cellStyle name="Input 12 13" xfId="1396" xr:uid="{DAD6BCA6-E3D0-4623-BFA8-01208E2FFC79}"/>
    <cellStyle name="Input 12 14" xfId="1472" xr:uid="{AF96C0B4-0BB8-4D1B-90A7-09FE36748C71}"/>
    <cellStyle name="Input 12 15" xfId="1531" xr:uid="{C38E73A8-9E48-415A-9C82-068646894896}"/>
    <cellStyle name="Input 12 16" xfId="1623" xr:uid="{5FAB76BE-E2E0-4C36-BC49-93028C93A1D0}"/>
    <cellStyle name="Input 12 17" xfId="1680" xr:uid="{344E8D3D-8C41-4B12-924E-4FD0795F8F17}"/>
    <cellStyle name="Input 12 18" xfId="1773" xr:uid="{874B6321-1769-44E3-B043-4CDCF36841DA}"/>
    <cellStyle name="Input 12 19" xfId="1821" xr:uid="{643121FF-1BCB-4E7A-BB6A-FA214B46F654}"/>
    <cellStyle name="Input 12 2" xfId="1015" xr:uid="{ABC1F9C9-483C-4DD0-AA55-B062EFBB4FE5}"/>
    <cellStyle name="Input 12 20" xfId="1904" xr:uid="{0FD48289-A288-47E8-9E70-37768ED9E318}"/>
    <cellStyle name="Input 12 21" xfId="1951" xr:uid="{7A91025D-8AD0-4049-B279-827128AB08E9}"/>
    <cellStyle name="Input 12 22" xfId="2030" xr:uid="{95A4CE0C-8E50-4B23-AC7D-44BB93450D30}"/>
    <cellStyle name="Input 12 23" xfId="2091" xr:uid="{70B0E049-0B4C-45FB-A331-4EE5D48B62D4}"/>
    <cellStyle name="Input 12 24" xfId="2138" xr:uid="{877F0252-03F2-49D7-9D3F-4E0E5F6F3857}"/>
    <cellStyle name="Input 12 25" xfId="2216" xr:uid="{B4E7BD1A-935E-4C22-A772-32589BF814A6}"/>
    <cellStyle name="Input 12 26" xfId="2260" xr:uid="{EB058626-281D-47E0-B49C-CA664F6C5E56}"/>
    <cellStyle name="Input 12 27" xfId="2337" xr:uid="{AFF74A3C-B000-4354-ADA7-A9819B7B4B69}"/>
    <cellStyle name="Input 12 28" xfId="2381" xr:uid="{94E42459-1A1C-4096-80B7-9EAC3A3CBAFA}"/>
    <cellStyle name="Input 12 29" xfId="2460" xr:uid="{DE598668-2AE9-4037-84BE-7CE3BB5652B2}"/>
    <cellStyle name="Input 12 3" xfId="766" xr:uid="{9F291DD9-29DD-43A9-AB42-7F3C12B00A6C}"/>
    <cellStyle name="Input 12 30" xfId="2520" xr:uid="{A81B1A90-6805-4D1C-9996-8BAFCA5FAFC0}"/>
    <cellStyle name="Input 12 31" xfId="2747" xr:uid="{C43467C9-8A4B-47CB-B053-4259753CE91D}"/>
    <cellStyle name="Input 12 32" xfId="2642" xr:uid="{A5D00FF5-C9E4-405C-A3B7-8838572A40B8}"/>
    <cellStyle name="Input 12 4" xfId="1047" xr:uid="{B8F45F49-A3D4-45CD-8458-30BA96D9AA05}"/>
    <cellStyle name="Input 12 5" xfId="739" xr:uid="{ACAF42D7-8E56-4D41-B26E-DCEF7BD86858}"/>
    <cellStyle name="Input 12 6" xfId="1074" xr:uid="{046B1053-EF95-4ADA-B076-AB7E4AA4DE39}"/>
    <cellStyle name="Input 12 7" xfId="711" xr:uid="{1756F885-F6B0-41AD-9D3C-80FA046EC500}"/>
    <cellStyle name="Input 12 8" xfId="1099" xr:uid="{27723A5F-D1FA-4198-8BDE-66200CDED4DA}"/>
    <cellStyle name="Input 12 9" xfId="686" xr:uid="{BDF0421C-289D-40A1-9CCE-95E686CB1D9A}"/>
    <cellStyle name="Input 13" xfId="503" xr:uid="{B41D3823-AB55-4DF3-B844-1E1ABDB07385}"/>
    <cellStyle name="Input 13 10" xfId="1171" xr:uid="{079CF984-2D98-439C-ACD7-ADF0F1086B76}"/>
    <cellStyle name="Input 13 11" xfId="1228" xr:uid="{4367892E-E42F-41CA-851B-D454271FD9E7}"/>
    <cellStyle name="Input 13 12" xfId="1320" xr:uid="{337637B9-C0FE-4605-8167-3658E1CA2FDC}"/>
    <cellStyle name="Input 13 13" xfId="1397" xr:uid="{AC0D6225-53E9-4494-8A81-C787C8C6CADC}"/>
    <cellStyle name="Input 13 14" xfId="1473" xr:uid="{0C5AD892-BCA5-4BFF-972D-06445D05FF75}"/>
    <cellStyle name="Input 13 15" xfId="1547" xr:uid="{475837B2-3A8F-4F6A-8301-B2E0218C8FFD}"/>
    <cellStyle name="Input 13 16" xfId="1624" xr:uid="{59EFDE47-0265-4B2A-B13E-3E55B0EB472F}"/>
    <cellStyle name="Input 13 17" xfId="1696" xr:uid="{B711A91A-F935-4BB0-AED2-A685629619FF}"/>
    <cellStyle name="Input 13 18" xfId="1774" xr:uid="{87E78FC2-73D4-46AF-98E4-CE188E062257}"/>
    <cellStyle name="Input 13 19" xfId="1837" xr:uid="{89EDE5D4-4E73-4A63-98D3-499FA8D24F11}"/>
    <cellStyle name="Input 13 2" xfId="1016" xr:uid="{F8D5897A-625E-4151-BD8E-31BCEAD2F07D}"/>
    <cellStyle name="Input 13 20" xfId="1905" xr:uid="{42792BF2-97AE-4204-80C1-7C179716705D}"/>
    <cellStyle name="Input 13 21" xfId="1967" xr:uid="{5B5B0D76-4D4A-4018-A6A7-4E045DA4B4C0}"/>
    <cellStyle name="Input 13 22" xfId="2031" xr:uid="{A9615D7F-8566-4D8A-9938-51B2FB9495A7}"/>
    <cellStyle name="Input 13 23" xfId="2092" xr:uid="{015F9475-5FEC-4066-8D39-1C41952D5061}"/>
    <cellStyle name="Input 13 24" xfId="2154" xr:uid="{5E364F2C-C365-4388-A70C-FE009AAA52BA}"/>
    <cellStyle name="Input 13 25" xfId="2217" xr:uid="{855FAA09-AA1F-4E50-9F9B-78DE6951FBC3}"/>
    <cellStyle name="Input 13 26" xfId="2276" xr:uid="{A30D5B8B-D960-45F2-81CF-D2C4401B92CD}"/>
    <cellStyle name="Input 13 27" xfId="2338" xr:uid="{3BFF0637-FB73-4E96-B926-88D0AF2E2292}"/>
    <cellStyle name="Input 13 28" xfId="2397" xr:uid="{F0FD5D78-77BC-4D56-9E76-C2A814D9F3BC}"/>
    <cellStyle name="Input 13 29" xfId="2461" xr:uid="{60F26DA2-0C9B-4A4A-80DE-09F5482224BD}"/>
    <cellStyle name="Input 13 3" xfId="765" xr:uid="{0A2F0B82-0FBA-4530-BB4C-2EDCFCA0C5A0}"/>
    <cellStyle name="Input 13 30" xfId="2502" xr:uid="{600C875E-33B1-48F8-BEC3-659719243FD9}"/>
    <cellStyle name="Input 13 31" xfId="2648" xr:uid="{3C337024-604E-4A82-B2F0-B16D89F0B504}"/>
    <cellStyle name="Input 13 32" xfId="2624" xr:uid="{BF9FA861-4EA5-4D9A-9C46-EF39E5CF4DAB}"/>
    <cellStyle name="Input 13 4" xfId="1048" xr:uid="{78D151BC-1B03-4C03-B7FF-C48445E09893}"/>
    <cellStyle name="Input 13 5" xfId="738" xr:uid="{21C3DFEA-3D94-4DA1-B393-9165191DA800}"/>
    <cellStyle name="Input 13 6" xfId="1075" xr:uid="{C8BCEFF1-8F36-4187-BA14-8F6C28C4558E}"/>
    <cellStyle name="Input 13 7" xfId="710" xr:uid="{52E614FA-4BB4-4216-B831-EAFD77C15263}"/>
    <cellStyle name="Input 13 8" xfId="1100" xr:uid="{DDBC7CE8-57C7-46DF-80B1-D5726AEA85FC}"/>
    <cellStyle name="Input 13 9" xfId="685" xr:uid="{520993FE-346F-49FA-AD32-718B0B48761A}"/>
    <cellStyle name="Input 14" xfId="504" xr:uid="{52ACB180-5732-44E1-95B9-29597B890F0D}"/>
    <cellStyle name="Input 14 10" xfId="1172" xr:uid="{8CC57E4B-ACF8-4E2B-9054-64D5B997474B}"/>
    <cellStyle name="Input 14 11" xfId="1244" xr:uid="{D5D1A08E-B38F-44FD-B680-88D177AA95D8}"/>
    <cellStyle name="Input 14 12" xfId="1321" xr:uid="{65FD8353-86AE-4E61-AA89-DA93639C9B6A}"/>
    <cellStyle name="Input 14 13" xfId="1398" xr:uid="{D256FC2C-8457-49DD-BBB8-029D37DF77ED}"/>
    <cellStyle name="Input 14 14" xfId="1474" xr:uid="{90169C18-356A-4477-B038-A2FDCB019476}"/>
    <cellStyle name="Input 14 15" xfId="1548" xr:uid="{20F9A052-0571-4DEB-AE68-9FC7ED1C56FE}"/>
    <cellStyle name="Input 14 16" xfId="1625" xr:uid="{4F4FF27F-D364-4B60-A846-41938823C791}"/>
    <cellStyle name="Input 14 17" xfId="1697" xr:uid="{4A28D7A1-5DC1-4D0D-9497-89E5DDF431AC}"/>
    <cellStyle name="Input 14 18" xfId="1775" xr:uid="{9BE37CD6-9D7A-4428-BD65-6E7FDAF59C14}"/>
    <cellStyle name="Input 14 19" xfId="1838" xr:uid="{2A5395FF-EDCC-4BD4-88E5-D207EF3D1C4B}"/>
    <cellStyle name="Input 14 2" xfId="1017" xr:uid="{1CB48DAC-9369-4E07-890D-206C611C4D91}"/>
    <cellStyle name="Input 14 20" xfId="1906" xr:uid="{7C52312A-41D4-4974-8CB3-7C11D36B71BD}"/>
    <cellStyle name="Input 14 21" xfId="1968" xr:uid="{56CAB0BB-5AE0-444B-8704-C76601557FD1}"/>
    <cellStyle name="Input 14 22" xfId="2032" xr:uid="{49B7F78A-8C78-4BD6-9CE0-0AD130DA556F}"/>
    <cellStyle name="Input 14 23" xfId="2093" xr:uid="{0E38013F-944A-4CCB-820A-B192810136B9}"/>
    <cellStyle name="Input 14 24" xfId="2155" xr:uid="{CEF6FD45-A580-4AFD-BA6A-410D8D7FD0A1}"/>
    <cellStyle name="Input 14 25" xfId="2218" xr:uid="{001B1624-D837-45E4-861A-DD0F49208F49}"/>
    <cellStyle name="Input 14 26" xfId="2277" xr:uid="{2431693C-5038-4D02-A588-61CE806D5191}"/>
    <cellStyle name="Input 14 27" xfId="2339" xr:uid="{42421B27-32BD-493A-A1B9-E3B250245BB4}"/>
    <cellStyle name="Input 14 28" xfId="2398" xr:uid="{2AA8F8C5-B5C9-4A27-B65E-A575BE10E8DD}"/>
    <cellStyle name="Input 14 29" xfId="2462" xr:uid="{E247BEC9-8261-4971-9FD0-853AA61D7DC1}"/>
    <cellStyle name="Input 14 3" xfId="764" xr:uid="{FD3C31FD-4E24-4AC1-A640-F4B5E5251707}"/>
    <cellStyle name="Input 14 30" xfId="2521" xr:uid="{596CE87C-5C70-4D4C-8E5A-F910C81E378A}"/>
    <cellStyle name="Input 14 31" xfId="2564" xr:uid="{BF852D37-082D-46C5-8876-90D96EDF7587}"/>
    <cellStyle name="Input 14 32" xfId="2643" xr:uid="{D0A57F92-ECAB-4D00-B008-9DBBFAA177FE}"/>
    <cellStyle name="Input 14 4" xfId="1049" xr:uid="{1DB51EA3-6703-4A2A-A4EC-6165D7F1C224}"/>
    <cellStyle name="Input 14 5" xfId="737" xr:uid="{1D0D10CD-3E8F-4D1D-8283-6E5EDFA11AE4}"/>
    <cellStyle name="Input 14 6" xfId="1076" xr:uid="{5A27BE83-9CD9-4548-BC9A-B159F0F35A88}"/>
    <cellStyle name="Input 14 7" xfId="709" xr:uid="{075367D2-A210-483B-B59D-C8965228722C}"/>
    <cellStyle name="Input 14 8" xfId="1101" xr:uid="{0C068D3C-28E2-4917-A8F0-78C7CF7FDBAF}"/>
    <cellStyle name="Input 14 9" xfId="684" xr:uid="{2562F2CA-372C-43A9-AD62-E074AFC64610}"/>
    <cellStyle name="Input 15" xfId="505" xr:uid="{27106733-9565-442B-9515-01D9A2FC057C}"/>
    <cellStyle name="Input 15 10" xfId="1173" xr:uid="{8C906E94-63E3-4E49-B9B2-C5292EA618B4}"/>
    <cellStyle name="Input 15 11" xfId="1245" xr:uid="{0DDB2A69-7BAF-4939-B7DF-DFC9396CED59}"/>
    <cellStyle name="Input 15 12" xfId="1322" xr:uid="{BA21E1B0-29F2-42C0-AD68-DE986AA31659}"/>
    <cellStyle name="Input 15 13" xfId="1399" xr:uid="{4FFB0A21-1A8B-4643-932F-BBC06B509276}"/>
    <cellStyle name="Input 15 14" xfId="1475" xr:uid="{1909293A-95AF-4F3E-8382-6D9B404C8445}"/>
    <cellStyle name="Input 15 15" xfId="1549" xr:uid="{049CD3A3-36EF-4FCD-8626-2A6A17A38D5E}"/>
    <cellStyle name="Input 15 16" xfId="1626" xr:uid="{3FABC279-1FF2-4C65-9E84-167B3E5489FE}"/>
    <cellStyle name="Input 15 17" xfId="1698" xr:uid="{6DE564A9-88E3-46C5-A264-CCB7F361FDC9}"/>
    <cellStyle name="Input 15 18" xfId="1776" xr:uid="{E808FFDB-ACF0-4A39-88FE-1BAF4C65E8D4}"/>
    <cellStyle name="Input 15 19" xfId="1839" xr:uid="{502D8D09-4666-49A1-BA8B-64AB87CE832B}"/>
    <cellStyle name="Input 15 2" xfId="1018" xr:uid="{3B3A1C0F-EC15-437A-BC1D-84C63A9CE279}"/>
    <cellStyle name="Input 15 20" xfId="1907" xr:uid="{B834721A-3305-4E33-959B-EEE8083FD87A}"/>
    <cellStyle name="Input 15 21" xfId="1969" xr:uid="{B2A3A399-7037-47DF-92AF-97DD8BEE0560}"/>
    <cellStyle name="Input 15 22" xfId="2033" xr:uid="{FA2CBD47-495B-443F-9B88-F4D184E570A0}"/>
    <cellStyle name="Input 15 23" xfId="2094" xr:uid="{D41D9703-5908-4EC6-A54A-E2F4782DEB1D}"/>
    <cellStyle name="Input 15 24" xfId="2156" xr:uid="{B46EEFF1-CBCE-4841-8F34-78F8A63FB554}"/>
    <cellStyle name="Input 15 25" xfId="2219" xr:uid="{84FD29BE-62C1-4E7B-89BF-A89BA877A71E}"/>
    <cellStyle name="Input 15 26" xfId="2278" xr:uid="{E04430E4-270A-4E5C-A9AC-02A6A30EE480}"/>
    <cellStyle name="Input 15 27" xfId="2340" xr:uid="{BB47D59A-C6DE-48EA-86D7-D4108A8940A9}"/>
    <cellStyle name="Input 15 28" xfId="2399" xr:uid="{C3950628-D57A-4EBD-81E4-E4887A3A4BEE}"/>
    <cellStyle name="Input 15 29" xfId="2463" xr:uid="{9E4DC1D2-1B71-4851-9DC5-439CB803EC0A}"/>
    <cellStyle name="Input 15 3" xfId="763" xr:uid="{EB2E6D62-D403-47E6-A240-3BAA8D828951}"/>
    <cellStyle name="Input 15 30" xfId="2522" xr:uid="{2E78C8AB-5F0A-4451-A67E-16DE263100A7}"/>
    <cellStyle name="Input 15 31" xfId="2565" xr:uid="{899971F7-97A1-4FD4-B06B-DC5DB08A5D20}"/>
    <cellStyle name="Input 15 32" xfId="2644" xr:uid="{77EC0968-D7B2-45D9-B86B-A2E8A12EE351}"/>
    <cellStyle name="Input 15 4" xfId="1050" xr:uid="{D74160C9-8AD6-4CA4-90BE-C24440FFD15D}"/>
    <cellStyle name="Input 15 5" xfId="736" xr:uid="{0E01F790-4332-4A56-9E4E-A0F68E37DD64}"/>
    <cellStyle name="Input 15 6" xfId="1068" xr:uid="{2CF39CED-FA6B-4151-86A0-6EC03B8AB00D}"/>
    <cellStyle name="Input 15 7" xfId="708" xr:uid="{99E6C3E5-0EE9-4DC5-83B0-ABD150BFB6F8}"/>
    <cellStyle name="Input 15 8" xfId="1102" xr:uid="{5783F780-8DC1-4286-8971-366C59ED81B6}"/>
    <cellStyle name="Input 15 9" xfId="683" xr:uid="{E334047B-48C9-4368-A462-5220BD76E6A4}"/>
    <cellStyle name="Input 16" xfId="506" xr:uid="{360281F3-55F4-49A1-AD81-7E1213FEBBFB}"/>
    <cellStyle name="Input 16 10" xfId="1174" xr:uid="{45F640D3-8E57-48C1-B10C-656C62635D03}"/>
    <cellStyle name="Input 16 11" xfId="1246" xr:uid="{3CC5E4B6-C459-4F24-A85D-6CAEBAAE73B5}"/>
    <cellStyle name="Input 16 12" xfId="1323" xr:uid="{7B421C6B-EA2C-470B-935E-E5F1515F0E78}"/>
    <cellStyle name="Input 16 13" xfId="1400" xr:uid="{056ADB6D-AB7C-4799-AD35-127252579435}"/>
    <cellStyle name="Input 16 14" xfId="1454" xr:uid="{927AA6A9-E777-497C-B1B8-4C8FF22DF8DC}"/>
    <cellStyle name="Input 16 15" xfId="1550" xr:uid="{565BA4AD-5790-4FB8-AF1A-215BE85B934E}"/>
    <cellStyle name="Input 16 16" xfId="1604" xr:uid="{8C2466F7-EFB7-4D41-B863-21B2B9066980}"/>
    <cellStyle name="Input 16 17" xfId="1699" xr:uid="{C1E6F514-86CE-449E-A77E-567CB2E8E25C}"/>
    <cellStyle name="Input 16 18" xfId="1777" xr:uid="{89F85FD2-09FC-4572-BDFC-9EE42A0AC27B}"/>
    <cellStyle name="Input 16 19" xfId="1840" xr:uid="{4D06BBA9-A2EA-4C5F-8334-5C28DB210489}"/>
    <cellStyle name="Input 16 2" xfId="1019" xr:uid="{E582B9A1-BD3D-40DC-8FEE-8121D616E76F}"/>
    <cellStyle name="Input 16 20" xfId="1908" xr:uid="{B2A551B9-69BF-43EC-A1B4-C8A2E24560A9}"/>
    <cellStyle name="Input 16 21" xfId="1970" xr:uid="{4564BEAD-BC83-4776-A604-3F3ABF171A5B}"/>
    <cellStyle name="Input 16 22" xfId="2012" xr:uid="{808E4AF7-D846-46ED-A49A-8459C27B3BD5}"/>
    <cellStyle name="Input 16 23" xfId="2073" xr:uid="{800DC251-9D03-4416-9800-81062B304EE5}"/>
    <cellStyle name="Input 16 24" xfId="2157" xr:uid="{37792349-68FB-408C-8F20-1D4FC7389B62}"/>
    <cellStyle name="Input 16 25" xfId="2198" xr:uid="{0FC12B56-35E8-4B82-ACE2-09AF720E61F8}"/>
    <cellStyle name="Input 16 26" xfId="2279" xr:uid="{D37E37E5-EAD3-4ADA-9AD6-D9081113E0D9}"/>
    <cellStyle name="Input 16 27" xfId="2341" xr:uid="{FFAE336B-9C2B-4F5E-9306-269DE86AF5A0}"/>
    <cellStyle name="Input 16 28" xfId="2400" xr:uid="{8A6FC40A-E3AF-449A-BF32-F69430C42476}"/>
    <cellStyle name="Input 16 29" xfId="2464" xr:uid="{675CC1FE-0147-4977-8E09-B34D465B35CE}"/>
    <cellStyle name="Input 16 3" xfId="762" xr:uid="{3E0661C1-4445-412A-A4E2-A7B33D44B528}"/>
    <cellStyle name="Input 16 30" xfId="2523" xr:uid="{6A5B3E71-8ECB-4E68-92EA-7B86CF2467BD}"/>
    <cellStyle name="Input 16 31" xfId="2581" xr:uid="{31E63126-75BE-4EE1-BBD6-3D0662579C17}"/>
    <cellStyle name="Input 16 32" xfId="2645" xr:uid="{814EA91B-BEB5-4758-84DB-C0C4AD0B1A59}"/>
    <cellStyle name="Input 16 4" xfId="1051" xr:uid="{5EBEF60C-3B22-4DCA-8C7A-D3B2726B488E}"/>
    <cellStyle name="Input 16 5" xfId="735" xr:uid="{D3D7237F-C793-4B63-BA4F-E813BCDB7C6C}"/>
    <cellStyle name="Input 16 6" xfId="1077" xr:uid="{5414DA0E-A083-4A9D-9F6D-333D644502C8}"/>
    <cellStyle name="Input 16 7" xfId="707" xr:uid="{800312A1-C6C1-4392-96D9-CB422BB97622}"/>
    <cellStyle name="Input 16 8" xfId="1103" xr:uid="{FC666591-8FD9-455E-BB2E-AA90480AB530}"/>
    <cellStyle name="Input 16 9" xfId="682" xr:uid="{AA753802-21D0-4EC2-8D27-799C979FC783}"/>
    <cellStyle name="Input 2" xfId="507" xr:uid="{C05CF1E4-9D06-44E5-AA82-AAD603D0B256}"/>
    <cellStyle name="Input 2 10" xfId="1152" xr:uid="{18B9DF1F-FAA9-46D5-8CAE-90EA821455CD}"/>
    <cellStyle name="Input 2 11" xfId="1224" xr:uid="{6AC79DF6-B212-4A4C-B753-8AD16198DAD1}"/>
    <cellStyle name="Input 2 12" xfId="1301" xr:uid="{F52EA730-628D-4AFD-BC46-513BC680872F}"/>
    <cellStyle name="Input 2 13" xfId="1378" xr:uid="{370131D4-F3DC-4A29-A4E3-B599F0FC63FA}"/>
    <cellStyle name="Input 2 14" xfId="1476" xr:uid="{85D50D68-3F38-42D7-BABF-DF39E5A0F439}"/>
    <cellStyle name="Input 2 15" xfId="1551" xr:uid="{43BEB785-64DB-4160-823E-7F67D84F2CB3}"/>
    <cellStyle name="Input 2 16" xfId="1627" xr:uid="{BBEFAD20-E73E-4749-AFC1-4C684811FA0F}"/>
    <cellStyle name="Input 2 17" xfId="1700" xr:uid="{791D3ECF-C536-4424-ABF2-EDCEAE5C6492}"/>
    <cellStyle name="Input 2 18" xfId="1847" xr:uid="{F6AB6F18-7AA2-4D0B-B377-8140DB680F41}"/>
    <cellStyle name="Input 2 19" xfId="1819" xr:uid="{34A02135-B67C-46C4-A5E0-112B2568B894}"/>
    <cellStyle name="Input 2 2" xfId="1020" xr:uid="{523E2AF2-8812-4F72-8E63-1769820C5F43}"/>
    <cellStyle name="Input 2 20" xfId="1886" xr:uid="{40B1A3E6-BC46-46FD-B697-7A8885962389}"/>
    <cellStyle name="Input 2 21" xfId="1948" xr:uid="{CE6A0EF0-9E92-40C8-AA53-E71E3C99A32D}"/>
    <cellStyle name="Input 2 22" xfId="2034" xr:uid="{13F600EC-3468-4235-8515-264B3BF2B429}"/>
    <cellStyle name="Input 2 23" xfId="2095" xr:uid="{CD9BC5C5-01DA-49D6-8087-CB233D375603}"/>
    <cellStyle name="Input 2 24" xfId="2158" xr:uid="{3F9EC546-9425-4136-86E1-18449BD55CBE}"/>
    <cellStyle name="Input 2 25" xfId="2220" xr:uid="{C36B9950-A915-4721-949A-7D5ABBF7EEF0}"/>
    <cellStyle name="Input 2 26" xfId="2280" xr:uid="{AB9D2F16-7567-4FF7-8C3E-C971A55F58E6}"/>
    <cellStyle name="Input 2 27" xfId="2407" xr:uid="{7234BD57-BDC3-41A5-8DF0-BE10D68C893B}"/>
    <cellStyle name="Input 2 28" xfId="2379" xr:uid="{B282E717-9578-46AE-9CF7-2E119AF3C928}"/>
    <cellStyle name="Input 2 29" xfId="2442" xr:uid="{FFC7CD2F-4EC4-42BA-8C46-31212F313A4C}"/>
    <cellStyle name="Input 2 3" xfId="761" xr:uid="{B9FC6F5B-C327-4148-9D5D-E8CFEFEE21E3}"/>
    <cellStyle name="Input 2 30" xfId="2524" xr:uid="{E2AAB035-AC6D-4BB3-94A5-79FDCCCC758F}"/>
    <cellStyle name="Input 2 31" xfId="2582" xr:uid="{9D7CDCBB-6A64-41A0-A04E-4CD4444D6227}"/>
    <cellStyle name="Input 2 32" xfId="2646" xr:uid="{0C7AB1C2-790F-4DCB-A37F-CE8A116A5DAB}"/>
    <cellStyle name="Input 2 4" xfId="1052" xr:uid="{78E17D7E-34BA-4CB2-958D-32F7C5C0DE4A}"/>
    <cellStyle name="Input 2 5" xfId="734" xr:uid="{CB08961A-A789-4CE9-B9B1-8DB37EC2ED52}"/>
    <cellStyle name="Input 2 6" xfId="1078" xr:uid="{3D7BECE6-E4A8-4183-B4F1-64C4E44C0A5C}"/>
    <cellStyle name="Input 2 7" xfId="706" xr:uid="{A142F1C7-9319-46FF-93A1-A6EC9485E6AA}"/>
    <cellStyle name="Input 2 8" xfId="1104" xr:uid="{7ABEF6D2-572B-490F-B655-2CC83A71C144}"/>
    <cellStyle name="Input 2 9" xfId="689" xr:uid="{2516B38B-6DFA-4EC5-8F1B-FFE700CBE70E}"/>
    <cellStyle name="Input 3" xfId="508" xr:uid="{733D5598-D466-4BDB-859B-6165D202686A}"/>
    <cellStyle name="Input 3 10" xfId="1175" xr:uid="{E73D352A-4A7C-46EC-9AB6-2F931FBAE482}"/>
    <cellStyle name="Input 3 11" xfId="1247" xr:uid="{0F2D21FC-F14E-4C52-A4B8-B79FB9A0BA81}"/>
    <cellStyle name="Input 3 12" xfId="1324" xr:uid="{CCFD0CB3-7460-4FAC-9250-B37B95F4C9EC}"/>
    <cellStyle name="Input 3 13" xfId="1401" xr:uid="{D8E91F6E-E964-42A3-B77B-98AEC4BF2E4D}"/>
    <cellStyle name="Input 3 14" xfId="1477" xr:uid="{CBDC9CEE-6A99-4F25-812E-7973AC41C34F}"/>
    <cellStyle name="Input 3 15" xfId="1529" xr:uid="{C7196240-B815-4D3D-9A7E-B12AA0083CA6}"/>
    <cellStyle name="Input 3 16" xfId="1628" xr:uid="{047F2564-F09E-4A51-92C7-66E4A065A0CB}"/>
    <cellStyle name="Input 3 17" xfId="1678" xr:uid="{48E83142-BEC1-48CB-9CBC-CBAE37F18566}"/>
    <cellStyle name="Input 3 18" xfId="1778" xr:uid="{3A4BDE5B-C9D1-4229-8B9B-F2D51964F165}"/>
    <cellStyle name="Input 3 19" xfId="1841" xr:uid="{7DEFF6D3-FD00-4BD9-9263-F7BE67E78DDB}"/>
    <cellStyle name="Input 3 2" xfId="1021" xr:uid="{0575D9B2-1815-4222-A8AF-D8306F6E56C2}"/>
    <cellStyle name="Input 3 20" xfId="1909" xr:uid="{80E028B6-40D0-4D1A-894E-2931F19CD097}"/>
    <cellStyle name="Input 3 21" xfId="1971" xr:uid="{1F0EFB25-468C-4D27-AF1A-0E9A5A587194}"/>
    <cellStyle name="Input 3 22" xfId="2035" xr:uid="{E95AD648-599F-488C-9BBD-C46DE96DCDCE}"/>
    <cellStyle name="Input 3 23" xfId="2096" xr:uid="{E57694BE-9284-4481-A7A6-6C3BBBF7E3E7}"/>
    <cellStyle name="Input 3 24" xfId="2136" xr:uid="{E1841EEF-305B-49B4-B3D9-363E69C7B898}"/>
    <cellStyle name="Input 3 25" xfId="2221" xr:uid="{E7170510-EFDA-463B-8A4E-7FC1FB7802EC}"/>
    <cellStyle name="Input 3 26" xfId="2281" xr:uid="{5EC74443-FFF6-463C-A46C-4D9EA1191A01}"/>
    <cellStyle name="Input 3 27" xfId="2342" xr:uid="{067F5ADF-2A3A-4DC1-8CA7-B09D28315089}"/>
    <cellStyle name="Input 3 28" xfId="2401" xr:uid="{6E556781-9D97-4119-A9B4-14ABC430FE1D}"/>
    <cellStyle name="Input 3 29" xfId="2465" xr:uid="{7907F641-5D58-45DF-9B56-2BBA079596EB}"/>
    <cellStyle name="Input 3 3" xfId="760" xr:uid="{9DFD1C09-C041-4E6F-9677-61C28255076E}"/>
    <cellStyle name="Input 3 30" xfId="2525" xr:uid="{1F6CE096-6347-431F-9AF1-94613BE2FB3A}"/>
    <cellStyle name="Input 3 31" xfId="2583" xr:uid="{401B542B-AD13-41E1-A9C1-B83B1A627157}"/>
    <cellStyle name="Input 3 32" xfId="2647" xr:uid="{85EE946F-7A72-43BF-AAB8-55F8FB8BEB51}"/>
    <cellStyle name="Input 3 4" xfId="1053" xr:uid="{A1C059B5-1E6F-4A5D-80D4-7C441F67BA98}"/>
    <cellStyle name="Input 3 5" xfId="733" xr:uid="{E703206C-30DE-4E30-9AD9-21FAA0254BCE}"/>
    <cellStyle name="Input 3 6" xfId="1079" xr:uid="{B6729057-5138-4EE2-B3AB-BDC89DE351EA}"/>
    <cellStyle name="Input 3 7" xfId="705" xr:uid="{8A1C79B0-ED76-4AFC-9012-081AC531C5C6}"/>
    <cellStyle name="Input 3 8" xfId="1096" xr:uid="{F265B9A3-9342-463A-A721-A9E84051646B}"/>
    <cellStyle name="Input 3 9" xfId="681" xr:uid="{34A4B461-DDCC-4AAB-83DD-C5D4927528FD}"/>
    <cellStyle name="Input 4" xfId="509" xr:uid="{D91E1CB0-867C-4E53-B4AE-6942506AB62A}"/>
    <cellStyle name="Input 4 10" xfId="1176" xr:uid="{6A2A0F2D-0E55-4AFB-AF9A-BAB4E256101C}"/>
    <cellStyle name="Input 4 11" xfId="1248" xr:uid="{9A1CB106-1C7C-4348-9C71-A7A141ADA47B}"/>
    <cellStyle name="Input 4 12" xfId="1325" xr:uid="{A807187F-ACA2-4D37-BC02-C7745E41CC12}"/>
    <cellStyle name="Input 4 13" xfId="1402" xr:uid="{42A6CCAF-FDF9-45C5-9917-C790CF69DE1E}"/>
    <cellStyle name="Input 4 14" xfId="1478" xr:uid="{92141C6D-719C-4FA9-90B8-7D8D0522C92B}"/>
    <cellStyle name="Input 4 15" xfId="1552" xr:uid="{C289FD5D-B03B-44AF-84CD-38FE52269A46}"/>
    <cellStyle name="Input 4 16" xfId="1629" xr:uid="{C1C39662-BE39-4F0F-B4B3-46FA5A41FAFC}"/>
    <cellStyle name="Input 4 17" xfId="1701" xr:uid="{190FB9E7-2582-44BC-AB49-B8A04EBA2703}"/>
    <cellStyle name="Input 4 18" xfId="1779" xr:uid="{318FAFEF-CD29-40B0-BB6A-7F954AD1DCBC}"/>
    <cellStyle name="Input 4 19" xfId="1842" xr:uid="{13E099BA-8642-4BC3-BB32-7FBF6EF977FB}"/>
    <cellStyle name="Input 4 2" xfId="1022" xr:uid="{87EE2E4A-2278-4B28-9852-B672B624B8D1}"/>
    <cellStyle name="Input 4 20" xfId="1910" xr:uid="{FFFF4C70-FF7F-425B-9757-E9B5C400CAAF}"/>
    <cellStyle name="Input 4 21" xfId="1972" xr:uid="{E0C2CEDB-6554-40CC-BF36-DA3BD13C4CD6}"/>
    <cellStyle name="Input 4 22" xfId="2036" xr:uid="{8EF3E5EF-8D88-48DF-A13F-7DFE756B4AF5}"/>
    <cellStyle name="Input 4 23" xfId="2097" xr:uid="{71024639-8964-4D79-B66C-70F3E3A38F2F}"/>
    <cellStyle name="Input 4 24" xfId="2159" xr:uid="{E6FA448F-99AC-449E-AF7C-36A3A4687F2C}"/>
    <cellStyle name="Input 4 25" xfId="2222" xr:uid="{56E1DE20-8BE2-48CF-BDBA-7733E0F644C3}"/>
    <cellStyle name="Input 4 26" xfId="2346" xr:uid="{E03AA58E-E824-49EE-97F3-3CEEFE99631F}"/>
    <cellStyle name="Input 4 27" xfId="2343" xr:uid="{6C121D54-6385-46ED-9BBC-CAF369B08955}"/>
    <cellStyle name="Input 4 28" xfId="2402" xr:uid="{08944E9E-6386-478E-BD34-B3A002BF8C71}"/>
    <cellStyle name="Input 4 29" xfId="2466" xr:uid="{CBD1C357-8DCA-4B82-ADB1-2E357AEC4E65}"/>
    <cellStyle name="Input 4 3" xfId="759" xr:uid="{7EE3B06C-BE43-45A2-8BF4-10DA9F1C499C}"/>
    <cellStyle name="Input 4 30" xfId="2620" xr:uid="{EB134CC3-E326-4BBC-8C67-4C487AAD4FC2}"/>
    <cellStyle name="Input 4 31" xfId="2584" xr:uid="{686C0396-39C2-4843-AFF7-53D369F1FA97}"/>
    <cellStyle name="Input 4 32" xfId="2727" xr:uid="{66BDD91A-2FCF-427C-A67B-683C51B9B4B7}"/>
    <cellStyle name="Input 4 4" xfId="1054" xr:uid="{63893F11-CA53-4BD6-AB91-92C9A3017301}"/>
    <cellStyle name="Input 4 5" xfId="732" xr:uid="{82A1A4E6-2F19-4D20-8F3B-BE01D0D4CE26}"/>
    <cellStyle name="Input 4 6" xfId="1080" xr:uid="{C9228283-9CC4-4ED7-B456-D486CD212485}"/>
    <cellStyle name="Input 4 7" xfId="713" xr:uid="{D4673A12-BD2A-406D-970E-225789BF5567}"/>
    <cellStyle name="Input 4 8" xfId="1105" xr:uid="{84FB6EC3-BFF4-448E-B28F-C0ADF93E6EC7}"/>
    <cellStyle name="Input 4 9" xfId="680" xr:uid="{31952568-695A-4430-B08F-C41F692CBE23}"/>
    <cellStyle name="Input 5" xfId="510" xr:uid="{D7A22779-9E72-4419-B690-19C963EBC122}"/>
    <cellStyle name="Input 5 10" xfId="1177" xr:uid="{81874835-9885-49FD-B8CD-1E8BF3855F3A}"/>
    <cellStyle name="Input 5 11" xfId="1249" xr:uid="{A6DDBC56-EA1D-4565-8C17-23E73C4557C2}"/>
    <cellStyle name="Input 5 12" xfId="1326" xr:uid="{64676572-A1FE-4AF9-A825-C0A75345B3BE}"/>
    <cellStyle name="Input 5 13" xfId="1403" xr:uid="{DFAB6816-A41C-42CA-810E-CF9381691A07}"/>
    <cellStyle name="Input 5 14" xfId="1479" xr:uid="{82E13E9D-5994-411C-B9B2-1354D098A584}"/>
    <cellStyle name="Input 5 15" xfId="1553" xr:uid="{299D70EA-709B-4434-9A41-17EADC6595F6}"/>
    <cellStyle name="Input 5 16" xfId="1630" xr:uid="{533E800C-A749-406D-BA00-E94BE6D0215B}"/>
    <cellStyle name="Input 5 17" xfId="1702" xr:uid="{54BDFA4C-B273-44D2-9C5F-060C30AAAAD9}"/>
    <cellStyle name="Input 5 18" xfId="1780" xr:uid="{7882882D-50AA-43A4-A697-9F292AF808EF}"/>
    <cellStyle name="Input 5 19" xfId="1843" xr:uid="{0FEF3570-C3FF-48BC-94F2-AC8F27EC9EC7}"/>
    <cellStyle name="Input 5 2" xfId="1023" xr:uid="{106DA82C-FB85-42C5-9B90-29E2D5651E2A}"/>
    <cellStyle name="Input 5 20" xfId="1911" xr:uid="{86BE88C7-0AEB-4F02-8675-C115E95D5149}"/>
    <cellStyle name="Input 5 21" xfId="1973" xr:uid="{F1014B64-11D0-4224-B250-D5D6EE5B789A}"/>
    <cellStyle name="Input 5 22" xfId="2037" xr:uid="{A42BE791-17B3-4701-8989-1C50A642786C}"/>
    <cellStyle name="Input 5 23" xfId="2098" xr:uid="{EEA89AE7-CF58-41C8-95E7-913E9F20961C}"/>
    <cellStyle name="Input 5 24" xfId="2160" xr:uid="{FDCA4D0F-87B6-42E5-85C0-EACD25C96E01}"/>
    <cellStyle name="Input 5 25" xfId="2223" xr:uid="{BD2CBDDA-5593-4F63-B907-F69E698AD9C8}"/>
    <cellStyle name="Input 5 26" xfId="2282" xr:uid="{CF942F4C-3CC2-4FA1-81C1-B205D29F63EF}"/>
    <cellStyle name="Input 5 27" xfId="2344" xr:uid="{B63CC5FE-5158-4A08-80AD-192741905983}"/>
    <cellStyle name="Input 5 28" xfId="2403" xr:uid="{1ED51FD8-5630-4AAC-B812-B9D0A04C15D0}"/>
    <cellStyle name="Input 5 29" xfId="2467" xr:uid="{89483519-2982-47A9-B0BB-05EF21DCFCFB}"/>
    <cellStyle name="Input 5 3" xfId="758" xr:uid="{9E4CDEA3-6A7F-4934-B6DD-E2143143BEA3}"/>
    <cellStyle name="Input 5 30" xfId="2621" xr:uid="{1E085195-6C00-421F-9DA9-10FA12371830}"/>
    <cellStyle name="Input 5 31" xfId="2585" xr:uid="{26C0D728-A5EE-4FD4-A52E-93C069B52C03}"/>
    <cellStyle name="Input 5 32" xfId="2728" xr:uid="{7CC6C5BD-27CA-43EC-AD8F-46CEA94B45E1}"/>
    <cellStyle name="Input 5 4" xfId="1055" xr:uid="{CA9528EE-B4DC-4102-AA87-FE131209946B}"/>
    <cellStyle name="Input 5 5" xfId="731" xr:uid="{520F2B62-3445-4A6F-B545-66AD098A14C3}"/>
    <cellStyle name="Input 5 6" xfId="1081" xr:uid="{332D3915-AD77-4D97-AD86-49497292298C}"/>
    <cellStyle name="Input 5 7" xfId="704" xr:uid="{CEC7A58E-E34D-4CF2-87E9-C7219ECF95C9}"/>
    <cellStyle name="Input 5 8" xfId="1106" xr:uid="{220823C1-9FD7-4E48-8A81-366515A07C4B}"/>
    <cellStyle name="Input 5 9" xfId="679" xr:uid="{AA52CC93-73DF-4B4C-8C7B-26822B7758F3}"/>
    <cellStyle name="Input 6" xfId="511" xr:uid="{3EB24C5C-E52D-4212-B2E0-0A0078F30D45}"/>
    <cellStyle name="Input 6 10" xfId="1256" xr:uid="{19140158-3AE7-421F-BA2B-A8A821C3E493}"/>
    <cellStyle name="Input 6 11" xfId="1250" xr:uid="{CD4AC272-41D4-4765-A577-47AADF68841A}"/>
    <cellStyle name="Input 6 12" xfId="1327" xr:uid="{C5352E11-DF6C-4AFA-A826-9A74236CFE85}"/>
    <cellStyle name="Input 6 13" xfId="1404" xr:uid="{A73A2250-E684-41F7-A084-6EBCB10CE587}"/>
    <cellStyle name="Input 6 14" xfId="1480" xr:uid="{064BA545-302C-4042-AFFB-DE88C8341BD9}"/>
    <cellStyle name="Input 6 15" xfId="1554" xr:uid="{7BF55DCC-F969-41DC-B59F-A5D48A115578}"/>
    <cellStyle name="Input 6 16" xfId="1631" xr:uid="{5B71489D-3595-4F16-9F7F-FCD46FB6A537}"/>
    <cellStyle name="Input 6 17" xfId="1703" xr:uid="{926EC14D-8A71-4C10-9503-F1C49AE15E03}"/>
    <cellStyle name="Input 6 18" xfId="1781" xr:uid="{7A5D6095-3865-42E7-B53C-67309E5CE168}"/>
    <cellStyle name="Input 6 19" xfId="1844" xr:uid="{1C77CEA2-FCA6-4FF0-954A-3B73D5182245}"/>
    <cellStyle name="Input 6 2" xfId="1024" xr:uid="{AF76A3B2-F075-4C11-8FBD-E59AC64F0C9C}"/>
    <cellStyle name="Input 6 20" xfId="1912" xr:uid="{C26DF280-5ABC-4A92-B170-6071EED8262B}"/>
    <cellStyle name="Input 6 21" xfId="1974" xr:uid="{873C9CD3-D0AE-4399-8DFC-8901D2344CF6}"/>
    <cellStyle name="Input 6 22" xfId="2038" xr:uid="{78133B93-B9CF-4ACF-880D-08A870B0FD6C}"/>
    <cellStyle name="Input 6 23" xfId="2099" xr:uid="{14BA5070-02FD-4A98-9A89-290EEABE8AA7}"/>
    <cellStyle name="Input 6 24" xfId="2161" xr:uid="{97ADE4ED-F2DE-4C94-A8CC-9DA543400CA9}"/>
    <cellStyle name="Input 6 25" xfId="2224" xr:uid="{6DD7A708-9028-46FE-816E-8792661AB216}"/>
    <cellStyle name="Input 6 26" xfId="2283" xr:uid="{DA0BBE01-13D0-4674-B1F3-15605805498A}"/>
    <cellStyle name="Input 6 27" xfId="2345" xr:uid="{7121EAB6-CEDF-4670-BAB7-C60FC867A6DC}"/>
    <cellStyle name="Input 6 28" xfId="2404" xr:uid="{319F39F8-D75F-4E43-B63C-8837EB342B2A}"/>
    <cellStyle name="Input 6 29" xfId="2526" xr:uid="{D882C321-0D0E-4724-A15A-48ECEA235595}"/>
    <cellStyle name="Input 6 3" xfId="757" xr:uid="{E33040F9-E0A4-42AB-A484-D7DF0385AF65}"/>
    <cellStyle name="Input 6 30" xfId="2622" xr:uid="{0DC484E8-BD7E-475A-B2D7-2D9E85547113}"/>
    <cellStyle name="Input 6 31" xfId="2563" xr:uid="{AA1A74B5-DE1D-4651-B9BF-E1E7096C4ADD}"/>
    <cellStyle name="Input 6 32" xfId="2729" xr:uid="{FB99D9E0-7511-40BF-92D5-4832CBD52E9A}"/>
    <cellStyle name="Input 6 4" xfId="1056" xr:uid="{D3688F1E-683D-4821-9D83-9002F6F6D4E7}"/>
    <cellStyle name="Input 6 5" xfId="730" xr:uid="{70A4DA79-2C81-48DB-A036-A555DDB1F205}"/>
    <cellStyle name="Input 6 6" xfId="1082" xr:uid="{D1B30F8E-BCD0-4F16-9710-20C64C8C7232}"/>
    <cellStyle name="Input 6 7" xfId="703" xr:uid="{9E29AF2E-2A0B-4E9E-9B10-E847C2382249}"/>
    <cellStyle name="Input 6 8" xfId="1138" xr:uid="{A65DE531-1AEE-4DB2-B865-D497230FF8E5}"/>
    <cellStyle name="Input 6 9" xfId="678" xr:uid="{4E309845-2CE7-4E98-8C53-1FFD5890FA85}"/>
    <cellStyle name="Input 7" xfId="512" xr:uid="{74C71573-3481-4C28-89C6-8FEC482CDDB3}"/>
    <cellStyle name="Input 7 10" xfId="1257" xr:uid="{D95A5007-838F-4B86-A033-F8036203A2DF}"/>
    <cellStyle name="Input 7 11" xfId="1334" xr:uid="{44A60217-4BEB-42F4-9F28-139F7FE1638D}"/>
    <cellStyle name="Input 7 12" xfId="1328" xr:uid="{54C9F67E-67C0-4221-AA34-9CBF2F5AEB5A}"/>
    <cellStyle name="Input 7 13" xfId="1405" xr:uid="{EB87E572-A210-40CE-9CB7-D8811D85FA43}"/>
    <cellStyle name="Input 7 14" xfId="1593" xr:uid="{C43B32E9-89D0-4BE1-BB48-6778FFAECC2E}"/>
    <cellStyle name="Input 7 15" xfId="1555" xr:uid="{A0B6AE0A-BF31-4AF0-93DA-E1DE7E40C34C}"/>
    <cellStyle name="Input 7 16" xfId="1742" xr:uid="{47626C1F-0DB9-4B02-9C49-22CDAEDE2FFA}"/>
    <cellStyle name="Input 7 17" xfId="1704" xr:uid="{6DDCC2EF-919F-489F-B057-76A11ACBEE2B}"/>
    <cellStyle name="Input 7 18" xfId="1882" xr:uid="{7C9711F6-B280-4CAB-B360-0E3F82D78CB1}"/>
    <cellStyle name="Input 7 19" xfId="1845" xr:uid="{6A1A8CB1-BC5B-408F-B136-CFB85249A21A}"/>
    <cellStyle name="Input 7 2" xfId="1025" xr:uid="{D0E8D320-C159-4565-81C3-E613039570F2}"/>
    <cellStyle name="Input 7 20" xfId="1978" xr:uid="{0B148B66-0935-4206-AA29-E616E031A387}"/>
    <cellStyle name="Input 7 21" xfId="1975" xr:uid="{024A9C57-A3A9-48CA-8AE0-081F7BA130EB}"/>
    <cellStyle name="Input 7 22" xfId="2133" xr:uid="{EFFD0CCD-1305-4EF8-B51B-FD4A343FDADF}"/>
    <cellStyle name="Input 7 23" xfId="2195" xr:uid="{AAB7D4D2-5B9A-4CF5-AFB6-106F25BE1D28}"/>
    <cellStyle name="Input 7 24" xfId="2162" xr:uid="{08F97016-FDE4-407B-BCE7-0C6158A9A470}"/>
    <cellStyle name="Input 7 25" xfId="2317" xr:uid="{CB94CCA9-B824-4C61-88F2-AEA6DBAB347C}"/>
    <cellStyle name="Input 7 26" xfId="2284" xr:uid="{2751207C-109F-44C0-B73F-BCD56889C319}"/>
    <cellStyle name="Input 7 27" xfId="2439" xr:uid="{D3C17204-B7E7-4537-A4E3-7601AB46123F}"/>
    <cellStyle name="Input 7 28" xfId="2405" xr:uid="{A685EDA7-DA6B-4704-A466-B2AD96640D1B}"/>
    <cellStyle name="Input 7 29" xfId="2527" xr:uid="{A60A8A82-154C-4CB6-A319-413C671048CC}"/>
    <cellStyle name="Input 7 3" xfId="756" xr:uid="{F5FC5802-E0EC-4BE8-90BA-70A75BFE1542}"/>
    <cellStyle name="Input 7 30" xfId="2795" xr:uid="{62B2813D-F3F5-4896-8925-3DFFF1454E2B}"/>
    <cellStyle name="Input 7 31" xfId="2586" xr:uid="{E131012E-991B-45B6-AB57-C26F2874FC8A}"/>
    <cellStyle name="Input 7 32" xfId="2730" xr:uid="{6AB6A3CD-58F8-4CE3-86A1-C055B7530529}"/>
    <cellStyle name="Input 7 4" xfId="1057" xr:uid="{10083EEC-4D3F-4F26-9F8A-51191A567DC5}"/>
    <cellStyle name="Input 7 5" xfId="729" xr:uid="{86D334FC-C8E2-4B28-A054-F5D257139643}"/>
    <cellStyle name="Input 7 6" xfId="1083" xr:uid="{19166781-057C-4532-A8B5-E4412582A776}"/>
    <cellStyle name="Input 7 7" xfId="702" xr:uid="{4680DDF2-D99E-4177-8CFC-DF2A83522907}"/>
    <cellStyle name="Input 7 8" xfId="1139" xr:uid="{A016EDB6-A03D-49BA-B5FD-5EB2BA1442A5}"/>
    <cellStyle name="Input 7 9" xfId="677" xr:uid="{EA98C1E3-0CD1-4EA6-AB28-3BE9F9016C76}"/>
    <cellStyle name="Input 8" xfId="513" xr:uid="{7E6EC2E0-509A-4946-B86B-7C1F99EC855F}"/>
    <cellStyle name="Input 8 10" xfId="1258" xr:uid="{E9E46D98-BE8D-427F-9EE0-D13598633C07}"/>
    <cellStyle name="Input 8 11" xfId="1366" xr:uid="{BBAB4A7F-6C81-4809-AD58-27BC95257525}"/>
    <cellStyle name="Input 8 12" xfId="1442" xr:uid="{A4518905-2B12-4810-808F-2B2090BE69E3}"/>
    <cellStyle name="Input 8 13" xfId="1517" xr:uid="{DA716C46-119E-490C-87D9-53FE2862CA5E}"/>
    <cellStyle name="Input 8 14" xfId="1594" xr:uid="{02073788-E144-4A98-8AD0-7443BC29D291}"/>
    <cellStyle name="Input 8 15" xfId="1556" xr:uid="{C3BC6D18-685D-4D8F-8280-FDF9BEFC6912}"/>
    <cellStyle name="Input 8 16" xfId="1743" xr:uid="{1248B8C7-55FA-46B7-A063-F94F9235424F}"/>
    <cellStyle name="Input 8 17" xfId="1705" xr:uid="{C7D97F2D-53E6-4194-AF7F-27C644FA5B4A}"/>
    <cellStyle name="Input 8 18" xfId="1883" xr:uid="{DA9D9B85-A942-40BF-8C33-D6C7644EEBD0}"/>
    <cellStyle name="Input 8 19" xfId="1846" xr:uid="{ECC38023-D66E-4066-92A0-73D539E9AEB1}"/>
    <cellStyle name="Input 8 2" xfId="1026" xr:uid="{5DE2EC9B-CF85-4FEB-B18B-338C3B372211}"/>
    <cellStyle name="Input 8 20" xfId="2010" xr:uid="{6250DB71-8CDC-4D45-AFEF-03885EC702E3}"/>
    <cellStyle name="Input 8 21" xfId="2071" xr:uid="{00B9CB3D-5603-4152-A6F3-A41E177B1F3F}"/>
    <cellStyle name="Input 8 22" xfId="2134" xr:uid="{B0135790-B5E0-4B89-A70E-C1A126A70B2A}"/>
    <cellStyle name="Input 8 23" xfId="2196" xr:uid="{FDB253AA-9841-40E6-87FF-99D2844C00AE}"/>
    <cellStyle name="Input 8 24" xfId="2163" xr:uid="{600B01B9-0771-41E9-A9F1-3CED36F0A3A7}"/>
    <cellStyle name="Input 8 25" xfId="2318" xr:uid="{0B36CBBE-6AA1-4941-A559-21C7F394C37A}"/>
    <cellStyle name="Input 8 26" xfId="2285" xr:uid="{9705F237-FBD9-4DF4-90EF-66C41BF53275}"/>
    <cellStyle name="Input 8 27" xfId="2440" xr:uid="{11C43FFD-4382-4F47-BD66-F05927A088F2}"/>
    <cellStyle name="Input 8 28" xfId="2406" xr:uid="{6DD03077-278D-4742-AE7C-3B3F86514039}"/>
    <cellStyle name="Input 8 29" xfId="2559" xr:uid="{60062E89-BDC6-4EDF-BE2C-E20C1F0F9D17}"/>
    <cellStyle name="Input 8 3" xfId="755" xr:uid="{0B9D7A8D-8B5E-4885-A968-7C8CCA209D38}"/>
    <cellStyle name="Input 8 30" xfId="2623" xr:uid="{4C5B8315-EE43-4CFC-8151-F6044A64BB83}"/>
    <cellStyle name="Input 8 31" xfId="2587" xr:uid="{83E6F8EA-424C-4B53-A14B-0A9B874B2791}"/>
    <cellStyle name="Input 8 32" xfId="2794" xr:uid="{983EE476-D63E-4E8B-B202-F3FB86FA2366}"/>
    <cellStyle name="Input 8 4" xfId="670" xr:uid="{2FFD73F2-03BE-47C7-A9E8-5B936E4DE1BC}"/>
    <cellStyle name="Input 8 5" xfId="728" xr:uid="{89E9F976-7B48-498C-B025-EBEB580D79E8}"/>
    <cellStyle name="Input 8 6" xfId="1084" xr:uid="{A559E3CE-2EF8-41AE-8D8B-522363DDE72A}"/>
    <cellStyle name="Input 8 7" xfId="701" xr:uid="{AC020BD0-937F-433D-8172-6951BAD347D8}"/>
    <cellStyle name="Input 8 8" xfId="1140" xr:uid="{8EA95DEA-A5D2-4482-AD39-CCB608C42888}"/>
    <cellStyle name="Input 8 9" xfId="676" xr:uid="{3B8E01B9-EC97-460A-A43E-AE5C84AE6091}"/>
    <cellStyle name="Input 9" xfId="514" xr:uid="{BB9D036C-765B-45D3-9FDA-8041845480A9}"/>
    <cellStyle name="Input 9 10" xfId="1290" xr:uid="{13AD70DE-68EA-4C14-B7FE-392251D6034D}"/>
    <cellStyle name="Input 9 11" xfId="1367" xr:uid="{75274463-1F89-4698-B8FB-DD968FB43324}"/>
    <cellStyle name="Input 9 12" xfId="1443" xr:uid="{3D18C8AB-B4FB-4C01-B3E3-9BE7B08B2BDF}"/>
    <cellStyle name="Input 9 13" xfId="1518" xr:uid="{EC71678F-0149-4864-9DE8-9ED2BF29C5A7}"/>
    <cellStyle name="Input 9 14" xfId="1595" xr:uid="{9781C6D6-40DA-493C-9690-C152B7538F7F}"/>
    <cellStyle name="Input 9 15" xfId="1668" xr:uid="{AA2247BC-84D4-4369-A5D7-483F5FF1DBCA}"/>
    <cellStyle name="Input 9 16" xfId="1744" xr:uid="{0A1EEA31-CF9B-4D55-87E5-7CC3D97CC8C6}"/>
    <cellStyle name="Input 9 17" xfId="1818" xr:uid="{CA9C51C1-F589-40B7-B92D-FA6FBB6DBB38}"/>
    <cellStyle name="Input 9 18" xfId="1884" xr:uid="{05A9A3CD-93BD-4D93-B1CF-F72C1546575D}"/>
    <cellStyle name="Input 9 19" xfId="1947" xr:uid="{86C3F30A-2206-46B2-BCBF-8745A7C64CA7}"/>
    <cellStyle name="Input 9 2" xfId="1027" xr:uid="{F0AC751A-3E16-47FA-B0BF-D11687395F5E}"/>
    <cellStyle name="Input 9 20" xfId="2011" xr:uid="{C989D45B-2A17-4D99-B784-B4F486A500EC}"/>
    <cellStyle name="Input 9 21" xfId="2072" xr:uid="{10BE5E0C-087F-4090-8318-E1929FB1B052}"/>
    <cellStyle name="Input 9 22" xfId="2135" xr:uid="{23C7201B-F33C-44C9-AA39-6BCFF78BDC0A}"/>
    <cellStyle name="Input 9 23" xfId="2197" xr:uid="{BC25489B-CD0E-4032-AE31-94A98A1BC0C2}"/>
    <cellStyle name="Input 9 24" xfId="2258" xr:uid="{327A6DAF-EB0B-4438-9AEC-95A52A5D0C3F}"/>
    <cellStyle name="Input 9 25" xfId="2319" xr:uid="{107A57C0-D39C-4FFA-B614-42BB51C33498}"/>
    <cellStyle name="Input 9 26" xfId="2378" xr:uid="{0BE7A36B-E4B0-4916-BA5B-49E419C5D001}"/>
    <cellStyle name="Input 9 27" xfId="2441" xr:uid="{01DFA0A4-A066-458C-A87A-17E6379B9746}"/>
    <cellStyle name="Input 9 28" xfId="2470" xr:uid="{A7050D8E-D277-427F-9050-67B7DD3FAAF5}"/>
    <cellStyle name="Input 9 29" xfId="2560" xr:uid="{622A0678-8603-4302-8900-B990326F0980}"/>
    <cellStyle name="Input 9 3" xfId="754" xr:uid="{4B1E1C70-A8A6-4B87-BDA0-D280597934E8}"/>
    <cellStyle name="Input 9 30" xfId="2695" xr:uid="{FE4BD5DF-A461-40D3-BAE2-C2AA821BBC2A}"/>
    <cellStyle name="Input 9 31" xfId="2588" xr:uid="{7007F174-3B21-41B9-B392-1BA62453751E}"/>
    <cellStyle name="Input 9 32" xfId="2731" xr:uid="{B02F76D0-EBE7-459D-B3BF-F0400EADA5E9}"/>
    <cellStyle name="Input 9 4" xfId="1058" xr:uid="{AE7400E1-23A5-481C-AB88-68F6A9BB2C54}"/>
    <cellStyle name="Input 9 5" xfId="727" xr:uid="{234CC873-3116-464F-A8B5-2BAEF6B97B67}"/>
    <cellStyle name="Input 9 6" xfId="1085" xr:uid="{0491B1EB-BBC0-4562-96B8-A43D8617DE48}"/>
    <cellStyle name="Input 9 7" xfId="700" xr:uid="{C5DCD1F8-0351-4C0E-9582-963EE6636E7F}"/>
    <cellStyle name="Input 9 8" xfId="1141" xr:uid="{BC83FC81-B18A-4329-99BF-90D85C99F5D8}"/>
    <cellStyle name="Input 9 9" xfId="675" xr:uid="{46A4BB1C-66FA-49C8-8666-707FB60D5522}"/>
    <cellStyle name="Linked Cell 10" xfId="515" xr:uid="{F0C88667-5EFA-431B-9AD9-FF388CFE535B}"/>
    <cellStyle name="Linked Cell 11" xfId="516" xr:uid="{D8659E82-E548-4B95-A519-CC851A8107EF}"/>
    <cellStyle name="Linked Cell 12" xfId="517" xr:uid="{F7D9E72F-3C8B-4ABD-B6D2-BE1DBC63DBFD}"/>
    <cellStyle name="Linked Cell 13" xfId="518" xr:uid="{38D82DBD-9A14-43DE-9D05-ED0DD4DE4C65}"/>
    <cellStyle name="Linked Cell 14" xfId="519" xr:uid="{B9B5DA84-04F3-49FC-A3A6-D611E8C774D4}"/>
    <cellStyle name="Linked Cell 15" xfId="520" xr:uid="{CD3C9AFE-06A8-4969-AFCD-7C85F7EF089A}"/>
    <cellStyle name="Linked Cell 16" xfId="521" xr:uid="{16890367-4346-4A55-A1C5-C22EBE53378D}"/>
    <cellStyle name="Linked Cell 2" xfId="522" xr:uid="{C48B93B8-2B2A-42EA-BDAC-EEA79382E8D8}"/>
    <cellStyle name="Linked Cell 3" xfId="523" xr:uid="{8DD01D55-294B-4985-BC37-ABD8A32514C7}"/>
    <cellStyle name="Linked Cell 4" xfId="524" xr:uid="{3DBE1FFA-298C-48E4-8303-598AB1369B40}"/>
    <cellStyle name="Linked Cell 5" xfId="525" xr:uid="{49A130F2-BCC3-4C64-B12B-28E4C81D66ED}"/>
    <cellStyle name="Linked Cell 6" xfId="526" xr:uid="{55B5FFFC-C9C9-432D-9B19-1C12D48EA819}"/>
    <cellStyle name="Linked Cell 7" xfId="527" xr:uid="{3B596548-0CF3-4647-8656-ADEE0660B58F}"/>
    <cellStyle name="Linked Cell 8" xfId="528" xr:uid="{B2F5067F-5635-46E0-A9ED-DFEA582C7D6E}"/>
    <cellStyle name="Linked Cell 9" xfId="529" xr:uid="{F0B99296-C31E-4C12-BD90-8D30C46F232C}"/>
    <cellStyle name="Neutral 10" xfId="530" xr:uid="{75BAEE22-612F-495C-83A5-00704B79DB4C}"/>
    <cellStyle name="Neutral 11" xfId="531" xr:uid="{6DD839BC-F01E-4F91-A714-A152DA72012A}"/>
    <cellStyle name="Neutral 12" xfId="532" xr:uid="{EED8B691-F164-4314-89F6-7C3EB3F91D7E}"/>
    <cellStyle name="Neutral 13" xfId="533" xr:uid="{E86EA4D8-A3DF-417F-85ED-761E024A8A3B}"/>
    <cellStyle name="Neutral 14" xfId="534" xr:uid="{F7907814-8317-4AB4-8AB8-5C118470D162}"/>
    <cellStyle name="Neutral 15" xfId="535" xr:uid="{6700D66F-317D-4622-971F-CE2A816DF63B}"/>
    <cellStyle name="Neutral 16" xfId="536" xr:uid="{4A8303DE-8054-4B4B-A332-38481CBDFDD1}"/>
    <cellStyle name="Neutral 2" xfId="537" xr:uid="{CF639062-2E65-46CD-B0F7-BB2782688F95}"/>
    <cellStyle name="Neutral 3" xfId="538" xr:uid="{77F4CD3E-D7CA-405B-8A5E-902834AE25FC}"/>
    <cellStyle name="Neutral 4" xfId="539" xr:uid="{7B00DCF2-F7DC-4C82-A185-25C09E97DD80}"/>
    <cellStyle name="Neutral 5" xfId="540" xr:uid="{074A7B89-295C-4F14-BEBA-E9179F0C0A65}"/>
    <cellStyle name="Neutral 6" xfId="541" xr:uid="{B06613EC-AE1E-4CAB-999F-559FA57C2074}"/>
    <cellStyle name="Neutral 7" xfId="542" xr:uid="{07BA0235-926D-47E5-B3E4-54A8A04A42F0}"/>
    <cellStyle name="Neutral 8" xfId="543" xr:uid="{BD1347E0-2EC2-44EC-99A9-16AA967ABB1F}"/>
    <cellStyle name="Neutral 9" xfId="544" xr:uid="{BBCC2676-D8E7-4B06-B3E8-89ECA7986D71}"/>
    <cellStyle name="Normal" xfId="0" builtinId="0"/>
    <cellStyle name="Normal 10" xfId="545" xr:uid="{0CDE3710-BE84-46C3-8BEB-4F59BD2CBD47}"/>
    <cellStyle name="Normal 11" xfId="546" xr:uid="{E67CB334-572E-4BAE-9EEE-C53C41715902}"/>
    <cellStyle name="Normal 12" xfId="547" xr:uid="{58CE945C-20EA-4F57-AB16-1C37F9A43876}"/>
    <cellStyle name="Normal 13" xfId="548" xr:uid="{02BB8991-033A-4E09-BC1D-4F32A1608FEC}"/>
    <cellStyle name="Normal 14" xfId="549" xr:uid="{13846443-10FC-4351-B32E-5E00F2D6E447}"/>
    <cellStyle name="Normal 15" xfId="550" xr:uid="{F5237D62-E109-4CB1-9F5C-DD2265295472}"/>
    <cellStyle name="Normal 16" xfId="551" xr:uid="{C241A730-FB9D-48BF-9146-28FCB059F9C1}"/>
    <cellStyle name="Normal 17" xfId="552" xr:uid="{F4A840AB-111A-4C37-8429-A0EB897765D3}"/>
    <cellStyle name="Normal 18" xfId="553" xr:uid="{2234EB09-1EAE-4277-9BD7-C0591E63721F}"/>
    <cellStyle name="Normal 19" xfId="554" xr:uid="{A5F9B176-2896-45CD-83DB-2E70EECE6C3C}"/>
    <cellStyle name="Normal 2" xfId="2" xr:uid="{10C4B04A-0B16-444D-8235-9ADD5E829D62}"/>
    <cellStyle name="Normal 2 10" xfId="556" xr:uid="{5FDD4C22-CBF6-48AD-822E-D3EF38E92C5A}"/>
    <cellStyle name="Normal 2 11" xfId="557" xr:uid="{86760E95-FE18-426B-8E88-4D8DDB354134}"/>
    <cellStyle name="Normal 2 12" xfId="558" xr:uid="{1D309D84-BBD9-43B3-BAFA-DEA9C076B686}"/>
    <cellStyle name="Normal 2 13" xfId="559" xr:uid="{B378E5E1-1533-4771-8385-5A9D7F5DBDF7}"/>
    <cellStyle name="Normal 2 14" xfId="560" xr:uid="{EA74DA35-F12F-458F-9352-3CB3BB1F0BE8}"/>
    <cellStyle name="Normal 2 15" xfId="561" xr:uid="{EA75BA13-F118-44B1-8050-AD7F0ADB2DF3}"/>
    <cellStyle name="Normal 2 16" xfId="562" xr:uid="{1DBCD126-3166-4C0A-97D7-08ED62A5D49B}"/>
    <cellStyle name="Normal 2 17" xfId="563" xr:uid="{163649CF-E228-43EF-B113-40AE6DB850B6}"/>
    <cellStyle name="Normal 2 18" xfId="555" xr:uid="{C7DD4FFF-FAC4-4114-AA74-5F0752EC989C}"/>
    <cellStyle name="Normal 2 19" xfId="2936" xr:uid="{8826B1E8-F06F-495E-A111-CAECA9291BAE}"/>
    <cellStyle name="Normal 2 2" xfId="564" xr:uid="{7183BD7F-C238-428E-9C22-B58DD2BD7A29}"/>
    <cellStyle name="Normal 2 2 2" xfId="565" xr:uid="{E5279031-D0C9-43E5-A464-2F76558628CF}"/>
    <cellStyle name="Normal 2 2 3" xfId="2934" xr:uid="{3792EC25-6DE4-462C-9B31-2DE85B8E4C68}"/>
    <cellStyle name="Normal 2 3" xfId="566" xr:uid="{B1D6F09D-150A-4B8C-AC36-E05607D1D935}"/>
    <cellStyle name="Normal 2 4" xfId="567" xr:uid="{DA8D805C-F008-4C18-8DE0-01603D64E0CD}"/>
    <cellStyle name="Normal 2 5" xfId="568" xr:uid="{022492AE-36BE-4042-9EB7-BC2E59F6331D}"/>
    <cellStyle name="Normal 2 6" xfId="569" xr:uid="{74BF3DEC-B05C-4337-8F0D-6231C2D3B439}"/>
    <cellStyle name="Normal 2 7" xfId="570" xr:uid="{E26BACA1-B8F7-4092-B4EB-2E08148830C0}"/>
    <cellStyle name="Normal 2 8" xfId="571" xr:uid="{24150C33-F47C-40A9-91BD-15FDCC6ADE36}"/>
    <cellStyle name="Normal 2 9" xfId="572" xr:uid="{FEC0C623-ACC3-4DDD-8FC4-07A128583D92}"/>
    <cellStyle name="Normal 20" xfId="3" xr:uid="{4E0064F9-2611-4D13-A1A7-B811CA9B24DD}"/>
    <cellStyle name="Normal 20 2" xfId="573" xr:uid="{E6121CA5-77D4-42C8-983E-8A86F508C59F}"/>
    <cellStyle name="Normal 21" xfId="574" xr:uid="{634E364F-F38F-49C5-80A7-32527E3AD050}"/>
    <cellStyle name="Normal 22" xfId="575" xr:uid="{0C409F96-CAD1-4F03-BAC1-FB9DC85DB641}"/>
    <cellStyle name="Normal 23" xfId="576" xr:uid="{7842E47E-C9C6-4BC6-854F-85FB624B7C31}"/>
    <cellStyle name="Normal 24" xfId="577" xr:uid="{AE486F7E-2C42-45F1-AD7C-64CB4B217E1E}"/>
    <cellStyle name="Normal 25" xfId="578" xr:uid="{C0AB139D-6F02-4169-B891-BF8042476067}"/>
    <cellStyle name="Normal 26" xfId="579" xr:uid="{62A2CDB0-998D-44A9-94F9-70E73A4F2FFC}"/>
    <cellStyle name="Normal 27" xfId="580" xr:uid="{6F27DEF4-2D4D-41CB-AD81-14F55CB72991}"/>
    <cellStyle name="Normal 28" xfId="581" xr:uid="{442EA02F-DE23-4332-B8F0-9AB4484B9C44}"/>
    <cellStyle name="Normal 29" xfId="1" xr:uid="{31495808-0989-4370-AF53-17F28A1658BC}"/>
    <cellStyle name="Normal 3" xfId="4" xr:uid="{33762BB7-CA94-412E-A785-6325A6EC400B}"/>
    <cellStyle name="Normal 3 2" xfId="582" xr:uid="{29B0EA45-3F0B-4B4C-84B1-3DE53C47CEA9}"/>
    <cellStyle name="Normal 3 3" xfId="2935" xr:uid="{FA88602F-7A42-4780-ADB8-2AD86A7C1352}"/>
    <cellStyle name="Normal 4" xfId="583" xr:uid="{77551DA2-B44F-4E7E-A224-2E7C97D06169}"/>
    <cellStyle name="Normal 4 2" xfId="584" xr:uid="{502E68C8-38F9-4D09-9DCF-1517914CC135}"/>
    <cellStyle name="Normal 5" xfId="585" xr:uid="{79B6237A-43B2-4108-8FDC-78F4DD4586CA}"/>
    <cellStyle name="Normal 6" xfId="586" xr:uid="{5940B419-097B-4DE1-8758-111E557C3E8C}"/>
    <cellStyle name="Normal 6 2" xfId="587" xr:uid="{EA21F5FE-ED7C-4D73-9549-E1232BF37A79}"/>
    <cellStyle name="Normal 7" xfId="588" xr:uid="{989406FC-9862-4EF8-B48E-E764D080391F}"/>
    <cellStyle name="Normal 7 2" xfId="589" xr:uid="{2E908F12-A656-4929-BF36-391B781B46AB}"/>
    <cellStyle name="Normal 8" xfId="590" xr:uid="{0C0DEDA4-1F03-4921-AA77-2A5F4B5E7813}"/>
    <cellStyle name="Normal 8 2" xfId="591" xr:uid="{13E1FA4E-AF80-40BB-8B5A-D793A5966788}"/>
    <cellStyle name="Normal 9" xfId="592" xr:uid="{1E2C1B7F-F62B-4439-81CA-8525CFB3BEB5}"/>
    <cellStyle name="Normal 9 2" xfId="593" xr:uid="{1120FA1C-64C0-4925-B518-42A71173CF3A}"/>
    <cellStyle name="Note 10" xfId="594" xr:uid="{18FECD74-E83C-4ABE-90AC-AA308034EF0D}"/>
    <cellStyle name="Note 10 10" xfId="1711" xr:uid="{0C8069EF-9018-4E22-8A54-6FF289E72CCE}"/>
    <cellStyle name="Note 10 11" xfId="1787" xr:uid="{CE52645C-2970-4400-B682-9AB005A2024F}"/>
    <cellStyle name="Note 10 12" xfId="1851" xr:uid="{18AD08D2-8A2E-428C-8EB0-2A90653CADAA}"/>
    <cellStyle name="Note 10 13" xfId="1916" xr:uid="{336D5114-F610-4C6D-BC27-FF5E7ECF5283}"/>
    <cellStyle name="Note 10 14" xfId="1979" xr:uid="{66B76F97-6374-41A5-93CC-1D1D89B25B6F}"/>
    <cellStyle name="Note 10 15" xfId="2040" xr:uid="{077DEB9B-6F58-466D-A62C-4F91023A48B1}"/>
    <cellStyle name="Note 10 16" xfId="2102" xr:uid="{645A61B3-49CA-40CD-B966-EEF0D5FFE1BC}"/>
    <cellStyle name="Note 10 17" xfId="2164" xr:uid="{D75106F2-3362-4EBE-98F3-C4070D821FBC}"/>
    <cellStyle name="Note 10 18" xfId="2227" xr:uid="{4AFDE204-09E2-4288-93B3-32B90B1E8C45}"/>
    <cellStyle name="Note 10 19" xfId="2286" xr:uid="{002E3440-DEBB-43B2-A7AA-63C44325BE6D}"/>
    <cellStyle name="Note 10 2" xfId="1107" xr:uid="{F66FACEA-5369-4C33-80A3-540F7E88A0D4}"/>
    <cellStyle name="Note 10 20" xfId="2347" xr:uid="{6A2CDBA5-63C8-48EA-ABFA-88192A9FB61B}"/>
    <cellStyle name="Note 10 21" xfId="2408" xr:uid="{BFB46E31-09DA-47D8-B4C9-25F3CADECE85}"/>
    <cellStyle name="Note 10 22" xfId="2471" xr:uid="{A9DD695E-8473-4F67-B3D3-008E022F132C}"/>
    <cellStyle name="Note 10 23" xfId="2528" xr:uid="{632FAA44-2570-48D3-A402-8B9333033D13}"/>
    <cellStyle name="Note 10 24" xfId="2589" xr:uid="{3519F0DB-A29C-4233-9082-BBEAAD5769AC}"/>
    <cellStyle name="Note 10 25" xfId="2649" xr:uid="{C9D50F6A-2358-4847-B502-8172734BC354}"/>
    <cellStyle name="Note 10 26" xfId="2696" xr:uid="{E2A47E68-457A-42CB-86C4-C13FCF4F22D6}"/>
    <cellStyle name="Note 10 27" xfId="2748" xr:uid="{83BB19A8-4B6E-41DB-A649-0A9C6A7C056D}"/>
    <cellStyle name="Note 10 28" xfId="2796" xr:uid="{FFFEAEBC-DADC-4062-9927-393417BCC6D3}"/>
    <cellStyle name="Note 10 29" xfId="2842" xr:uid="{84079A5E-57A0-422A-BD63-43E96093862F}"/>
    <cellStyle name="Note 10 3" xfId="1183" xr:uid="{0629C08D-52E7-43B8-BAB4-853F280E0D6A}"/>
    <cellStyle name="Note 10 30" xfId="2888" xr:uid="{11B0F9C1-ABCB-496B-BEF4-FF600DD4D0E1}"/>
    <cellStyle name="Note 10 31" xfId="2937" xr:uid="{A7630CF8-B6F2-44D2-AC1E-EC1544D63C03}"/>
    <cellStyle name="Note 10 32" xfId="2983" xr:uid="{5922E853-E5EF-4BF4-8816-CD5F6DB3403A}"/>
    <cellStyle name="Note 10 4" xfId="1259" xr:uid="{E68D988A-FFCA-451D-A43F-50400ED4EF16}"/>
    <cellStyle name="Note 10 5" xfId="1335" xr:uid="{BF870A27-2CBA-48DE-B936-3DD9ADD8D006}"/>
    <cellStyle name="Note 10 6" xfId="1411" xr:uid="{C9470AD9-5CA4-421B-BF58-0E840F06431F}"/>
    <cellStyle name="Note 10 7" xfId="1486" xr:uid="{4D77B38F-EFC0-4385-8E10-52403D7127D2}"/>
    <cellStyle name="Note 10 8" xfId="1562" xr:uid="{A6C94731-75A3-47A7-B472-0BF0828C5CAD}"/>
    <cellStyle name="Note 10 9" xfId="1637" xr:uid="{71E18F88-0748-4CFC-9446-C888D6325223}"/>
    <cellStyle name="Note 11" xfId="595" xr:uid="{9448EBB4-F945-474D-BC50-00FA9A1557D5}"/>
    <cellStyle name="Note 11 10" xfId="1712" xr:uid="{4E04678A-ACB4-4737-9D49-14987FAD30AE}"/>
    <cellStyle name="Note 11 11" xfId="1788" xr:uid="{5872181B-9683-4999-AB92-CFE9A9168E58}"/>
    <cellStyle name="Note 11 12" xfId="1852" xr:uid="{977405A5-376B-4B41-BFBB-FA9F7AF0499F}"/>
    <cellStyle name="Note 11 13" xfId="1917" xr:uid="{09FF2AC0-959B-4DEB-BB85-EB036A455C64}"/>
    <cellStyle name="Note 11 14" xfId="1980" xr:uid="{08CB6AC3-7D5E-4B71-A63B-76A8E15C8BD9}"/>
    <cellStyle name="Note 11 15" xfId="2041" xr:uid="{DF9E7942-5EF1-4ECC-8C14-D78E5F30483D}"/>
    <cellStyle name="Note 11 16" xfId="2103" xr:uid="{303A22EC-B336-40F7-877D-10AF119BD887}"/>
    <cellStyle name="Note 11 17" xfId="2165" xr:uid="{DBCE051A-BEB7-4451-9891-6B327C320D41}"/>
    <cellStyle name="Note 11 18" xfId="2228" xr:uid="{DB9866A1-1204-4964-AC04-145EFB4837D7}"/>
    <cellStyle name="Note 11 19" xfId="2287" xr:uid="{6918F299-BF3F-4861-AFDE-AF62657EAB19}"/>
    <cellStyle name="Note 11 2" xfId="1108" xr:uid="{988C928D-3B58-425E-A1F9-E73203F66523}"/>
    <cellStyle name="Note 11 20" xfId="2348" xr:uid="{26CD4AB3-7FA4-4DC0-9075-DB25BF673444}"/>
    <cellStyle name="Note 11 21" xfId="2409" xr:uid="{7AC2EDF8-89BF-417E-B566-992EFC7D2550}"/>
    <cellStyle name="Note 11 22" xfId="2472" xr:uid="{7ABAED76-1369-4849-99AD-51449823291B}"/>
    <cellStyle name="Note 11 23" xfId="2529" xr:uid="{28A011B3-E18D-4C4C-B74A-A054444FDA0E}"/>
    <cellStyle name="Note 11 24" xfId="2590" xr:uid="{3725340D-EEEE-45A5-8201-AA341D260369}"/>
    <cellStyle name="Note 11 25" xfId="2650" xr:uid="{B977360D-9ADC-4A05-93F3-B3189A40218C}"/>
    <cellStyle name="Note 11 26" xfId="2697" xr:uid="{F2B241AF-BC14-493E-905A-C0F13EADB8F9}"/>
    <cellStyle name="Note 11 27" xfId="2749" xr:uid="{7FDD4B64-AA6C-40B2-A1B4-7DA6619BF7FA}"/>
    <cellStyle name="Note 11 28" xfId="2797" xr:uid="{8D5C38BD-B9D5-4174-ACA2-E18A1A5C70DB}"/>
    <cellStyle name="Note 11 29" xfId="2843" xr:uid="{850D0B26-1741-4D6C-B92D-93F82A1C24A7}"/>
    <cellStyle name="Note 11 3" xfId="1184" xr:uid="{FFAA6362-9A1D-4EA2-B0B2-530CD82F89F3}"/>
    <cellStyle name="Note 11 30" xfId="2889" xr:uid="{08A98B8B-F42E-4F1F-B5C1-92919BB2183A}"/>
    <cellStyle name="Note 11 31" xfId="2938" xr:uid="{EC61197F-DB7D-48D6-A895-982B9C364890}"/>
    <cellStyle name="Note 11 32" xfId="2984" xr:uid="{0FE19028-2C4A-4367-B5F0-B21AA2912DEE}"/>
    <cellStyle name="Note 11 4" xfId="1260" xr:uid="{0E2877C7-F985-4D98-BB74-44A1619080FE}"/>
    <cellStyle name="Note 11 5" xfId="1336" xr:uid="{9BE97154-435A-484C-850D-7B033C3EF628}"/>
    <cellStyle name="Note 11 6" xfId="1412" xr:uid="{BBF32DCD-68FC-4002-9A55-96171DDDA5D8}"/>
    <cellStyle name="Note 11 7" xfId="1487" xr:uid="{DCDDD999-8A43-48F0-9C63-B895AF6478ED}"/>
    <cellStyle name="Note 11 8" xfId="1563" xr:uid="{556D24BB-5B69-4646-9462-711CA06A8692}"/>
    <cellStyle name="Note 11 9" xfId="1638" xr:uid="{D28A7E48-54D3-4C72-8AB8-F8ED4D1D2566}"/>
    <cellStyle name="Note 12" xfId="596" xr:uid="{A49370BD-A837-446E-9FD8-0969C3D31E4B}"/>
    <cellStyle name="Note 12 10" xfId="1713" xr:uid="{5AD23754-DCD5-48E6-8925-7D03FD843484}"/>
    <cellStyle name="Note 12 11" xfId="1789" xr:uid="{518DF1EC-6E25-4EA7-AB2C-12E97BBBA73B}"/>
    <cellStyle name="Note 12 12" xfId="1853" xr:uid="{0E0F9AD6-A917-418E-AADA-AAB07C3D8063}"/>
    <cellStyle name="Note 12 13" xfId="1918" xr:uid="{DEA74C31-0E2A-4759-8BC5-62AA8B8427DA}"/>
    <cellStyle name="Note 12 14" xfId="1981" xr:uid="{BA8A9107-2823-4ADA-B30B-BEB69667DC57}"/>
    <cellStyle name="Note 12 15" xfId="2042" xr:uid="{8095912B-53A2-4FCE-8FF6-139C5D3F3188}"/>
    <cellStyle name="Note 12 16" xfId="2104" xr:uid="{8E35BD8C-A30C-44F2-9C6A-633320F01076}"/>
    <cellStyle name="Note 12 17" xfId="2166" xr:uid="{0AAB6B53-C4D7-4551-B874-1A5E1504AF3A}"/>
    <cellStyle name="Note 12 18" xfId="2229" xr:uid="{EEB92D43-7708-4A3F-960E-B0E1E52DC621}"/>
    <cellStyle name="Note 12 19" xfId="2288" xr:uid="{864BC236-7493-4520-9C43-64449179E71F}"/>
    <cellStyle name="Note 12 2" xfId="1109" xr:uid="{E8084169-6021-4958-9FEA-AA46A4CDF47A}"/>
    <cellStyle name="Note 12 20" xfId="2349" xr:uid="{95453CFA-D90D-402E-8B2A-622268DC56D3}"/>
    <cellStyle name="Note 12 21" xfId="2410" xr:uid="{10FD94B0-C839-4B16-8B77-255A6DDA8237}"/>
    <cellStyle name="Note 12 22" xfId="2473" xr:uid="{9B9A528F-9241-4E91-8DBE-7E1F7DA110C6}"/>
    <cellStyle name="Note 12 23" xfId="2530" xr:uid="{EC352DE7-7A8D-4F4A-8A24-FDD5AA6EF702}"/>
    <cellStyle name="Note 12 24" xfId="2591" xr:uid="{DD6AC18B-2D97-4BC2-B598-CAC02453D706}"/>
    <cellStyle name="Note 12 25" xfId="2651" xr:uid="{BD4DC5C6-DF1D-4120-9114-54DA0D30B13C}"/>
    <cellStyle name="Note 12 26" xfId="2698" xr:uid="{8AED2A95-2717-4416-A447-49AE7E1D081D}"/>
    <cellStyle name="Note 12 27" xfId="2750" xr:uid="{28373C2E-5A77-4B6A-964D-C6B7ADD95E9C}"/>
    <cellStyle name="Note 12 28" xfId="2798" xr:uid="{E1940296-E49F-406E-9BE0-649A0E7DE7EB}"/>
    <cellStyle name="Note 12 29" xfId="2844" xr:uid="{6607E7FF-322C-4317-8BC5-F20F8AEFFBCB}"/>
    <cellStyle name="Note 12 3" xfId="1185" xr:uid="{B8FE2F56-880A-4D37-A626-BA9D5BB9FD85}"/>
    <cellStyle name="Note 12 30" xfId="2890" xr:uid="{B64C03AA-055A-48BE-816E-4B80B4E16769}"/>
    <cellStyle name="Note 12 31" xfId="2939" xr:uid="{9571895E-858F-43A7-9474-81A1E41EB800}"/>
    <cellStyle name="Note 12 32" xfId="2985" xr:uid="{68543D10-EC8C-4D8E-A1B0-EEA669E2EE4B}"/>
    <cellStyle name="Note 12 4" xfId="1261" xr:uid="{D328186D-3C71-4B4F-88A0-13D719E54A28}"/>
    <cellStyle name="Note 12 5" xfId="1337" xr:uid="{EE07CD42-2027-4A47-A402-F8C96047F23E}"/>
    <cellStyle name="Note 12 6" xfId="1413" xr:uid="{464C23A2-7111-48F0-AB91-0570D3EB5BF4}"/>
    <cellStyle name="Note 12 7" xfId="1488" xr:uid="{2269430F-CE8C-495E-908C-706DF0E0C035}"/>
    <cellStyle name="Note 12 8" xfId="1564" xr:uid="{E7F2A060-BC0F-4CFE-93DD-D2450D8B735C}"/>
    <cellStyle name="Note 12 9" xfId="1639" xr:uid="{6609A0C2-5BB9-4C6F-8D75-7C1795194A5B}"/>
    <cellStyle name="Note 13" xfId="597" xr:uid="{30020E2C-E050-403F-B939-A4AEB688CECE}"/>
    <cellStyle name="Note 13 10" xfId="1714" xr:uid="{3762D9F6-4835-4B74-A405-BE9C5FEE10A2}"/>
    <cellStyle name="Note 13 11" xfId="1790" xr:uid="{D17AF310-A14D-4E30-AD84-A8217FEC0FE0}"/>
    <cellStyle name="Note 13 12" xfId="1854" xr:uid="{6D131455-39C8-4738-A15F-32F8A6B9439D}"/>
    <cellStyle name="Note 13 13" xfId="1919" xr:uid="{64A8A7FD-1EA9-4A98-B649-94F84BA0114D}"/>
    <cellStyle name="Note 13 14" xfId="1982" xr:uid="{85532ED3-1334-4B40-8009-572811D67C18}"/>
    <cellStyle name="Note 13 15" xfId="2043" xr:uid="{634EBD3C-8C8B-434D-B9CB-D6A876DE9180}"/>
    <cellStyle name="Note 13 16" xfId="2105" xr:uid="{2E5AAF92-6D34-466F-A891-208AC3490E81}"/>
    <cellStyle name="Note 13 17" xfId="2167" xr:uid="{63098CC2-401B-46D1-8F16-842EA98059F9}"/>
    <cellStyle name="Note 13 18" xfId="2230" xr:uid="{78CD9814-29D5-464B-B651-EACA390C97FD}"/>
    <cellStyle name="Note 13 19" xfId="2289" xr:uid="{8336247A-A99C-4EF1-8DC7-E2DB76230934}"/>
    <cellStyle name="Note 13 2" xfId="1110" xr:uid="{25F2241A-09A1-403D-971E-3190BBE0DC5E}"/>
    <cellStyle name="Note 13 20" xfId="2350" xr:uid="{F0F9654D-4BFF-4BBA-90E7-CD5DE27BADDA}"/>
    <cellStyle name="Note 13 21" xfId="2411" xr:uid="{2FB5C521-F158-4127-9B81-CA66BFF930CD}"/>
    <cellStyle name="Note 13 22" xfId="2474" xr:uid="{2FBD84F5-63FC-417E-9A65-7E5CD4C6AEBD}"/>
    <cellStyle name="Note 13 23" xfId="2531" xr:uid="{FD5CF8AE-B444-4DF5-B449-3AAE3E2E5A1F}"/>
    <cellStyle name="Note 13 24" xfId="2592" xr:uid="{35935624-7869-4F93-9AAD-D142A3218410}"/>
    <cellStyle name="Note 13 25" xfId="2652" xr:uid="{E187E472-9D6F-4367-90E2-427806377F4D}"/>
    <cellStyle name="Note 13 26" xfId="2699" xr:uid="{CB52F1CE-BB80-46E0-85DF-5FBDCA93DC6A}"/>
    <cellStyle name="Note 13 27" xfId="2751" xr:uid="{4D41EB60-B484-421B-8F79-523FF08359B2}"/>
    <cellStyle name="Note 13 28" xfId="2799" xr:uid="{57FA279E-1637-4BF2-B8D9-4C6FE3A3EC00}"/>
    <cellStyle name="Note 13 29" xfId="2845" xr:uid="{5058F4BA-42FC-486C-B502-657C1E4C5F7C}"/>
    <cellStyle name="Note 13 3" xfId="1186" xr:uid="{59A0349F-6A6C-4022-9373-0E5341AC8FFB}"/>
    <cellStyle name="Note 13 30" xfId="2891" xr:uid="{BD3FBD64-4CCD-4FA4-A269-AED5C3F046D1}"/>
    <cellStyle name="Note 13 31" xfId="2940" xr:uid="{3A969FAC-D1D1-432E-8E6D-B26906BC878E}"/>
    <cellStyle name="Note 13 32" xfId="2986" xr:uid="{B37ACCF3-293A-4C8D-8F53-3DD16E96FD25}"/>
    <cellStyle name="Note 13 4" xfId="1262" xr:uid="{4609608E-EDAB-47ED-A285-22816ED00E1E}"/>
    <cellStyle name="Note 13 5" xfId="1338" xr:uid="{1399433E-CFF9-46FD-8EC5-34CE9230F9A1}"/>
    <cellStyle name="Note 13 6" xfId="1414" xr:uid="{DED2FD74-A08D-49C6-94C0-492806F0877E}"/>
    <cellStyle name="Note 13 7" xfId="1489" xr:uid="{610A8C59-C1E4-42E6-8F7F-9CEBF7697EC3}"/>
    <cellStyle name="Note 13 8" xfId="1565" xr:uid="{8CB1873D-951D-46B7-9DD7-81EA682ECB7C}"/>
    <cellStyle name="Note 13 9" xfId="1640" xr:uid="{D214F62D-C823-4AB2-853A-CB2DF5E7E172}"/>
    <cellStyle name="Note 14" xfId="598" xr:uid="{DB90B13A-A07F-4026-AE98-682CA73A8D4D}"/>
    <cellStyle name="Note 14 10" xfId="1715" xr:uid="{E8FD72C8-6232-4E6F-87C9-9F0C66B0B9F1}"/>
    <cellStyle name="Note 14 11" xfId="1791" xr:uid="{D8A7D771-6122-4DAA-AABC-836AB8B0D70D}"/>
    <cellStyle name="Note 14 12" xfId="1855" xr:uid="{2C18FBC8-09B0-44A1-954E-7612EA94AB93}"/>
    <cellStyle name="Note 14 13" xfId="1920" xr:uid="{92CF4FC1-11D8-4210-A4AC-AF1364FA825D}"/>
    <cellStyle name="Note 14 14" xfId="1983" xr:uid="{DA3F804F-9968-4B09-8316-D2F84F6F24C3}"/>
    <cellStyle name="Note 14 15" xfId="2044" xr:uid="{5F03CAC7-E724-49C3-BC1B-7EE4585F3D5B}"/>
    <cellStyle name="Note 14 16" xfId="2106" xr:uid="{3AD49B5B-AEE6-4003-9345-39F206AB8D93}"/>
    <cellStyle name="Note 14 17" xfId="2168" xr:uid="{9F2F3D13-2203-4A00-8ACA-5B2F4594A410}"/>
    <cellStyle name="Note 14 18" xfId="2231" xr:uid="{30A99CC8-17D7-4A48-AE18-04F654785AAB}"/>
    <cellStyle name="Note 14 19" xfId="2290" xr:uid="{5375706C-B249-47EB-A540-7D3D56756702}"/>
    <cellStyle name="Note 14 2" xfId="1111" xr:uid="{639D7C0A-4612-4C73-8A7F-DCE06732438D}"/>
    <cellStyle name="Note 14 20" xfId="2351" xr:uid="{6D6AAED6-9A61-44BA-BF0E-DDC26001A43F}"/>
    <cellStyle name="Note 14 21" xfId="2412" xr:uid="{062A12AB-6CCB-42C7-8AC5-3D56AAD86978}"/>
    <cellStyle name="Note 14 22" xfId="2475" xr:uid="{2F0C5D96-6BA4-4D90-B8D6-44E47BE8BE9E}"/>
    <cellStyle name="Note 14 23" xfId="2532" xr:uid="{FC34190B-1F15-4C3A-9E94-33EF310E229B}"/>
    <cellStyle name="Note 14 24" xfId="2593" xr:uid="{98BB1885-BCDE-4E7F-A2D2-AB9154C6FABE}"/>
    <cellStyle name="Note 14 25" xfId="2653" xr:uid="{A6BF284E-159A-4698-A286-AB64AF7644CB}"/>
    <cellStyle name="Note 14 26" xfId="2700" xr:uid="{B52DDD01-17B9-4340-8E26-3054BF469D5A}"/>
    <cellStyle name="Note 14 27" xfId="2752" xr:uid="{65399B1A-0D15-4327-95CB-781537BA6EC4}"/>
    <cellStyle name="Note 14 28" xfId="2800" xr:uid="{7C93801B-2E97-41D6-8F06-8878F56B7C52}"/>
    <cellStyle name="Note 14 29" xfId="2846" xr:uid="{B11FDF40-74F2-4112-AEB6-3CE11D390672}"/>
    <cellStyle name="Note 14 3" xfId="1187" xr:uid="{545B8155-81C6-4696-B69C-0A6FF63063D8}"/>
    <cellStyle name="Note 14 30" xfId="2892" xr:uid="{EF586835-A09A-4C52-A7F5-2DD5F1AC7199}"/>
    <cellStyle name="Note 14 31" xfId="2941" xr:uid="{7D0505C1-5FA3-4C6C-BE8A-C90AEC756603}"/>
    <cellStyle name="Note 14 32" xfId="2987" xr:uid="{37B88CD8-E8D7-451E-8826-3A3B7FC4CF7A}"/>
    <cellStyle name="Note 14 4" xfId="1263" xr:uid="{B038677D-4EDD-4CB0-8EE7-92DAD033ED5D}"/>
    <cellStyle name="Note 14 5" xfId="1339" xr:uid="{5C09ECB6-A486-40CC-96CE-6C42CA5B3208}"/>
    <cellStyle name="Note 14 6" xfId="1415" xr:uid="{75FDF177-119B-477F-B6A6-76DED694B23D}"/>
    <cellStyle name="Note 14 7" xfId="1490" xr:uid="{C7C5A7FA-B717-4DF6-8668-EB3A685D6D6A}"/>
    <cellStyle name="Note 14 8" xfId="1566" xr:uid="{796B5534-1E70-4A25-B7F2-3DE3985C9257}"/>
    <cellStyle name="Note 14 9" xfId="1641" xr:uid="{A2EBB95F-0C20-485E-8E6E-B142555346AE}"/>
    <cellStyle name="Note 15" xfId="599" xr:uid="{3600FDDC-F1B5-4882-950D-6C348E040A6B}"/>
    <cellStyle name="Note 15 10" xfId="1716" xr:uid="{9EEB2443-1A2E-4189-AA87-82E89A0A62D5}"/>
    <cellStyle name="Note 15 11" xfId="1792" xr:uid="{567D18A1-06B3-47EB-BBBF-D727CEAFB4B2}"/>
    <cellStyle name="Note 15 12" xfId="1856" xr:uid="{A0249187-DB00-48F0-BFAC-2DA8504BF337}"/>
    <cellStyle name="Note 15 13" xfId="1921" xr:uid="{56B0997D-AD3C-4813-A201-14826D120EB7}"/>
    <cellStyle name="Note 15 14" xfId="1984" xr:uid="{AD7778C1-447E-4AC6-BCAA-C5FDB6CDEAB0}"/>
    <cellStyle name="Note 15 15" xfId="2045" xr:uid="{F4137633-2726-4527-818C-40C188EEC5E3}"/>
    <cellStyle name="Note 15 16" xfId="2107" xr:uid="{2094C5A7-916D-4BA0-891C-905312B1688B}"/>
    <cellStyle name="Note 15 17" xfId="2169" xr:uid="{875FF2AE-DBEC-44E5-A7BC-FB9328BFA7DE}"/>
    <cellStyle name="Note 15 18" xfId="2232" xr:uid="{DE754C66-3092-4B4D-842B-3951C17B9E12}"/>
    <cellStyle name="Note 15 19" xfId="2291" xr:uid="{73A0B1D1-1D5C-4B76-95E9-69FE84CDA737}"/>
    <cellStyle name="Note 15 2" xfId="1112" xr:uid="{64A2ABEF-C67D-447E-8AA7-D271CB152EE4}"/>
    <cellStyle name="Note 15 20" xfId="2352" xr:uid="{978C6675-1ADA-42AB-8770-A65515320658}"/>
    <cellStyle name="Note 15 21" xfId="2413" xr:uid="{7500D6ED-266A-4FAB-B6E6-FB288E9C6080}"/>
    <cellStyle name="Note 15 22" xfId="2476" xr:uid="{8825E5BF-6C74-41E8-9452-0A2AC70B1907}"/>
    <cellStyle name="Note 15 23" xfId="2533" xr:uid="{0D8EC3C4-BDFC-49AC-9A2D-FA054073C353}"/>
    <cellStyle name="Note 15 24" xfId="2594" xr:uid="{66D0095C-021C-45BE-B8E8-F5CFF321D68D}"/>
    <cellStyle name="Note 15 25" xfId="2654" xr:uid="{CF5D45A3-2C5B-4959-9C82-2016FA36D1BD}"/>
    <cellStyle name="Note 15 26" xfId="2701" xr:uid="{76C3B020-605D-43BF-8F4F-1A0120F4FC86}"/>
    <cellStyle name="Note 15 27" xfId="2753" xr:uid="{57B5893C-A42D-4BF8-8CCC-E4E300BF67E2}"/>
    <cellStyle name="Note 15 28" xfId="2801" xr:uid="{489226F3-C8D7-420E-80DA-ED46A1CE770F}"/>
    <cellStyle name="Note 15 29" xfId="2847" xr:uid="{23F3DC7B-11F5-4F72-AF73-C0A1BDC1CD4F}"/>
    <cellStyle name="Note 15 3" xfId="1188" xr:uid="{CA7BCD5C-04D7-45C4-8B8B-DA4F3F04181F}"/>
    <cellStyle name="Note 15 30" xfId="2893" xr:uid="{77810A5F-48F5-4C66-B360-8979C124ED14}"/>
    <cellStyle name="Note 15 31" xfId="2942" xr:uid="{E35C46E7-DF0D-4C26-BF69-3D784DEE06BA}"/>
    <cellStyle name="Note 15 32" xfId="2988" xr:uid="{90994FEF-F2A2-430B-BD97-BA7F2625EEF3}"/>
    <cellStyle name="Note 15 4" xfId="1264" xr:uid="{D21CD052-EBCD-466D-B7A2-9CD494236FBC}"/>
    <cellStyle name="Note 15 5" xfId="1340" xr:uid="{9F456B9F-BC61-4F7A-A1D3-687715F358E7}"/>
    <cellStyle name="Note 15 6" xfId="1416" xr:uid="{AF2C366A-4AFB-4051-8BE4-53F60C0E6235}"/>
    <cellStyle name="Note 15 7" xfId="1491" xr:uid="{F1D43C48-B6D6-47EF-AE5C-31EE524CC64E}"/>
    <cellStyle name="Note 15 8" xfId="1567" xr:uid="{DC127CE7-3354-4023-B72E-D2436F2989F9}"/>
    <cellStyle name="Note 15 9" xfId="1642" xr:uid="{75F674FA-0E24-4906-8596-AD58B2E98D4A}"/>
    <cellStyle name="Note 16" xfId="600" xr:uid="{38B53D19-A543-4476-B0E1-C1FA46EBC038}"/>
    <cellStyle name="Note 16 10" xfId="1717" xr:uid="{943ABD09-A046-4534-9642-19FD8DC96C86}"/>
    <cellStyle name="Note 16 11" xfId="1793" xr:uid="{84B216F7-085A-4A70-93BC-8E74B0681012}"/>
    <cellStyle name="Note 16 12" xfId="1857" xr:uid="{8B24C7F5-8625-4DDD-96CB-164563E8EBF7}"/>
    <cellStyle name="Note 16 13" xfId="1922" xr:uid="{058A05D5-E1CD-4FF6-A403-49C1D02356B9}"/>
    <cellStyle name="Note 16 14" xfId="1985" xr:uid="{ECC336CB-8B2C-4357-AA9D-BE0516E21873}"/>
    <cellStyle name="Note 16 15" xfId="2046" xr:uid="{AFCABF89-B7EB-439D-AC3C-72A81D5F02B2}"/>
    <cellStyle name="Note 16 16" xfId="2108" xr:uid="{A17F5214-245E-44F9-BD3D-495AA20E9D91}"/>
    <cellStyle name="Note 16 17" xfId="2170" xr:uid="{F6A85DB8-6E81-4D87-9D57-ECA60EE54FA2}"/>
    <cellStyle name="Note 16 18" xfId="2233" xr:uid="{53E192CE-B579-4583-A83E-1E07635ABE94}"/>
    <cellStyle name="Note 16 19" xfId="2292" xr:uid="{D8D85927-26E7-42BD-9654-6C68224364BA}"/>
    <cellStyle name="Note 16 2" xfId="1113" xr:uid="{47F5A3E8-5D80-4CE8-9317-A6B4A0B3E2CC}"/>
    <cellStyle name="Note 16 20" xfId="2353" xr:uid="{37AFB933-FD00-4898-8216-5FABD08CB5F3}"/>
    <cellStyle name="Note 16 21" xfId="2414" xr:uid="{2AD924BC-52C3-4D3A-A60E-2B7294A18439}"/>
    <cellStyle name="Note 16 22" xfId="2477" xr:uid="{A75C684D-C275-4C82-8AE7-977AB1D2E83C}"/>
    <cellStyle name="Note 16 23" xfId="2534" xr:uid="{29DDEC15-2BE3-4A59-A446-03F769A02385}"/>
    <cellStyle name="Note 16 24" xfId="2595" xr:uid="{6107BA25-7065-4B78-A152-C8ECED8AF425}"/>
    <cellStyle name="Note 16 25" xfId="2655" xr:uid="{02A7B74E-84C1-4149-B48A-F0D04508F592}"/>
    <cellStyle name="Note 16 26" xfId="2702" xr:uid="{50694852-BBCE-49A9-8FC5-89B9FB7EA6FB}"/>
    <cellStyle name="Note 16 27" xfId="2754" xr:uid="{90493F65-A905-4FC1-BF56-4B0D0BB2BE70}"/>
    <cellStyle name="Note 16 28" xfId="2802" xr:uid="{1A3FCCF1-4BBE-431E-8C0C-07A203341B7A}"/>
    <cellStyle name="Note 16 29" xfId="2848" xr:uid="{8CD47049-0D6C-4A3D-8796-EBDD801B6FF7}"/>
    <cellStyle name="Note 16 3" xfId="1189" xr:uid="{544CE1DF-714B-4744-95AA-DD17FA310688}"/>
    <cellStyle name="Note 16 30" xfId="2894" xr:uid="{E4664802-F766-4E50-90C2-79AF3F683693}"/>
    <cellStyle name="Note 16 31" xfId="2943" xr:uid="{0B322609-DADF-4146-A817-53F6390A4147}"/>
    <cellStyle name="Note 16 32" xfId="2989" xr:uid="{4DE264D5-AD2B-4656-B175-1F50BD2A7FCC}"/>
    <cellStyle name="Note 16 4" xfId="1265" xr:uid="{851C3038-1AB5-4CA5-BECB-8E268803296C}"/>
    <cellStyle name="Note 16 5" xfId="1341" xr:uid="{1886E5C6-BAF7-4A34-8D01-57ADD7E885F5}"/>
    <cellStyle name="Note 16 6" xfId="1417" xr:uid="{8C83E0FE-A9A0-4B4E-9B33-FF23F256AEF2}"/>
    <cellStyle name="Note 16 7" xfId="1492" xr:uid="{7A6AC115-91C7-4503-B159-962001009C57}"/>
    <cellStyle name="Note 16 8" xfId="1568" xr:uid="{3E3CBC6A-2861-4CDB-951F-D8EE488D1ECD}"/>
    <cellStyle name="Note 16 9" xfId="1643" xr:uid="{889A16F7-0582-48FF-84FF-1FD48F82EA4E}"/>
    <cellStyle name="Note 17" xfId="601" xr:uid="{97EF071A-A292-4154-8D61-129D326BD76D}"/>
    <cellStyle name="Note 17 10" xfId="1718" xr:uid="{CBE769ED-C522-4E5F-B3DD-F75214150F93}"/>
    <cellStyle name="Note 17 11" xfId="1794" xr:uid="{5E048763-86A9-4D59-AA46-7FD7EE7D49CD}"/>
    <cellStyle name="Note 17 12" xfId="1858" xr:uid="{31E2BF39-477E-48AF-A1D9-4BCEDAE41EB6}"/>
    <cellStyle name="Note 17 13" xfId="1923" xr:uid="{5C857D41-DAA6-4F88-A3A6-EE06BCD5375C}"/>
    <cellStyle name="Note 17 14" xfId="1986" xr:uid="{4CED0D3B-2A9A-4E7E-ACDF-DB4ED76697D2}"/>
    <cellStyle name="Note 17 15" xfId="2047" xr:uid="{49BABD8C-6423-4537-BF4D-2793D1A85E6D}"/>
    <cellStyle name="Note 17 16" xfId="2109" xr:uid="{906BD615-960C-43B2-9476-F69426D12090}"/>
    <cellStyle name="Note 17 17" xfId="2171" xr:uid="{E4775161-DC21-4063-80ED-B3955D3A7908}"/>
    <cellStyle name="Note 17 18" xfId="2234" xr:uid="{F1641876-0CE7-41A8-A19D-6A80804F63E7}"/>
    <cellStyle name="Note 17 19" xfId="2293" xr:uid="{DAB733DB-3893-44CE-BB49-9DE02B549058}"/>
    <cellStyle name="Note 17 2" xfId="1114" xr:uid="{E49A8DA8-BC1B-4EA5-9C77-086F3BB68150}"/>
    <cellStyle name="Note 17 20" xfId="2354" xr:uid="{0D7DBAB2-0895-4E2C-844E-EAA35E783EA1}"/>
    <cellStyle name="Note 17 21" xfId="2415" xr:uid="{A2A95776-5968-4E5D-809D-6166AFD1D1C6}"/>
    <cellStyle name="Note 17 22" xfId="2478" xr:uid="{67EF8947-7684-493C-8D49-0E52D2F1F4FE}"/>
    <cellStyle name="Note 17 23" xfId="2535" xr:uid="{1805FEFF-5682-41CB-B037-0990133B2A14}"/>
    <cellStyle name="Note 17 24" xfId="2596" xr:uid="{C1038008-4875-44CC-90B0-009208F1CED4}"/>
    <cellStyle name="Note 17 25" xfId="2656" xr:uid="{4F3EE6EF-C07F-4A34-ADA1-089169D282FD}"/>
    <cellStyle name="Note 17 26" xfId="2703" xr:uid="{05F9B2D7-2ADD-46EF-AED2-308D87A6F14D}"/>
    <cellStyle name="Note 17 27" xfId="2755" xr:uid="{22C5ACE1-9487-45FB-9B12-5A8BA2FEB18D}"/>
    <cellStyle name="Note 17 28" xfId="2803" xr:uid="{6139D1AF-232D-4502-9967-86FC2F41DE77}"/>
    <cellStyle name="Note 17 29" xfId="2849" xr:uid="{279814F7-345D-4FF3-94DC-41F4414CD619}"/>
    <cellStyle name="Note 17 3" xfId="1190" xr:uid="{25E6A313-CBCC-4557-95DB-C6FD0DBFBFF9}"/>
    <cellStyle name="Note 17 30" xfId="2895" xr:uid="{1FAB2DD9-CF8E-4DCE-8C37-DB8613224041}"/>
    <cellStyle name="Note 17 31" xfId="2944" xr:uid="{832CA7C3-CAD2-4DDD-9213-776E895134B8}"/>
    <cellStyle name="Note 17 32" xfId="2990" xr:uid="{7F61E039-A435-4E65-8BD0-0C7E246728C3}"/>
    <cellStyle name="Note 17 4" xfId="1266" xr:uid="{19AB3B08-2972-4967-B105-A390808669D0}"/>
    <cellStyle name="Note 17 5" xfId="1342" xr:uid="{FCC30598-2BE9-4699-9E93-58C243CE04C2}"/>
    <cellStyle name="Note 17 6" xfId="1418" xr:uid="{77C8C7BD-1BE4-45B4-AA71-A2AF15E2EEA6}"/>
    <cellStyle name="Note 17 7" xfId="1493" xr:uid="{EA176F5D-CA4A-4EF4-872B-DD95A78BD22A}"/>
    <cellStyle name="Note 17 8" xfId="1569" xr:uid="{AC948F51-A3E4-474A-B32A-032FBF48834B}"/>
    <cellStyle name="Note 17 9" xfId="1644" xr:uid="{78C4FA8C-4ADA-4B9A-A6D9-E4336FDA62D4}"/>
    <cellStyle name="Note 2" xfId="602" xr:uid="{9032995C-EA1F-4F66-B905-9A498E79B2BF}"/>
    <cellStyle name="Note 2 10" xfId="1719" xr:uid="{86E8115D-92C9-4F25-8FC4-8189506FB0F3}"/>
    <cellStyle name="Note 2 11" xfId="1795" xr:uid="{3242A6B9-BF73-4A88-A2D8-0573646B47DF}"/>
    <cellStyle name="Note 2 12" xfId="1859" xr:uid="{39369362-58A6-4A45-B9E9-96B57D76CC20}"/>
    <cellStyle name="Note 2 13" xfId="1924" xr:uid="{D69737C7-3D9B-46BC-818D-46F60CB93880}"/>
    <cellStyle name="Note 2 14" xfId="1987" xr:uid="{4992CFDA-49DE-45FC-9272-15CDB2307192}"/>
    <cellStyle name="Note 2 15" xfId="2048" xr:uid="{5447CABE-6E0F-485B-9300-2E4A3E5CA4B8}"/>
    <cellStyle name="Note 2 16" xfId="2110" xr:uid="{1B0D5A0B-84C8-4EFB-8E97-A1E3472CCE72}"/>
    <cellStyle name="Note 2 17" xfId="2172" xr:uid="{EA05632D-125E-4E57-A0D7-2897B91C2BCA}"/>
    <cellStyle name="Note 2 18" xfId="2235" xr:uid="{28FCE423-E320-4134-A9B2-65C7198B65C4}"/>
    <cellStyle name="Note 2 19" xfId="2294" xr:uid="{3B601474-D3FF-4E93-AFD3-7EED5DB0B1E3}"/>
    <cellStyle name="Note 2 2" xfId="1115" xr:uid="{5C1B05BB-6F64-42C1-829A-CF5B52D2C71C}"/>
    <cellStyle name="Note 2 20" xfId="2355" xr:uid="{F6799602-7591-4263-9868-3AD31C33349B}"/>
    <cellStyle name="Note 2 21" xfId="2416" xr:uid="{A10CA053-DC62-4D4D-9F25-0FD1D9A9362F}"/>
    <cellStyle name="Note 2 22" xfId="2479" xr:uid="{ACD5C7F8-4DD0-47DB-BB6D-B88A0CB82ACA}"/>
    <cellStyle name="Note 2 23" xfId="2536" xr:uid="{7FB74AE2-7443-4176-835C-8046388E8595}"/>
    <cellStyle name="Note 2 24" xfId="2597" xr:uid="{F4468B5D-695F-45D1-93C1-27C74BE0A117}"/>
    <cellStyle name="Note 2 25" xfId="2657" xr:uid="{B1741AE4-51BC-44E5-B489-031EC90341DC}"/>
    <cellStyle name="Note 2 26" xfId="2704" xr:uid="{E1818E78-4BA9-408F-BE60-393456D9B41A}"/>
    <cellStyle name="Note 2 27" xfId="2756" xr:uid="{461A3DBB-AC04-4E64-84A5-47C52AF8AB2B}"/>
    <cellStyle name="Note 2 28" xfId="2804" xr:uid="{CBEA2736-16BF-4052-B9BC-9B30C3FEB072}"/>
    <cellStyle name="Note 2 29" xfId="2850" xr:uid="{9682BD57-60E3-4FD5-A245-DADEB01A0DB5}"/>
    <cellStyle name="Note 2 3" xfId="1191" xr:uid="{6AEDD2F0-9C3F-4E84-9466-E1EBCB6343C7}"/>
    <cellStyle name="Note 2 30" xfId="2896" xr:uid="{5F3AFE8E-FF2F-46DE-8F04-78DB926EC25D}"/>
    <cellStyle name="Note 2 31" xfId="2945" xr:uid="{01EF4CDE-1700-41D0-91A4-ABA5E747B0D1}"/>
    <cellStyle name="Note 2 32" xfId="2991" xr:uid="{691DD11A-B436-4B9D-8665-57147BDE3166}"/>
    <cellStyle name="Note 2 4" xfId="1267" xr:uid="{3E9770C2-3F1D-4F30-BA74-9D07CA845284}"/>
    <cellStyle name="Note 2 5" xfId="1343" xr:uid="{C03C96FD-7ECA-4C79-954B-2C6AFFFAEF50}"/>
    <cellStyle name="Note 2 6" xfId="1419" xr:uid="{0DCA6A05-A9CE-46BA-B075-62295C242276}"/>
    <cellStyle name="Note 2 7" xfId="1494" xr:uid="{3A7CFC16-E5C8-40E6-93C2-1DE3B28B8858}"/>
    <cellStyle name="Note 2 8" xfId="1570" xr:uid="{64EEEDF4-24D6-46C0-874D-EEBE134217B7}"/>
    <cellStyle name="Note 2 9" xfId="1645" xr:uid="{AA2752CD-4E38-47C4-8A2A-1E9CB9E6E53F}"/>
    <cellStyle name="Note 3" xfId="603" xr:uid="{6C05462A-3956-4D64-954D-60D0D19DAFF7}"/>
    <cellStyle name="Note 3 10" xfId="1720" xr:uid="{2EE3E726-DC3C-40FD-8BE3-EA6C3B750EE0}"/>
    <cellStyle name="Note 3 11" xfId="1796" xr:uid="{5FD79F23-69F5-4281-866B-6AFA3B883F5B}"/>
    <cellStyle name="Note 3 12" xfId="1860" xr:uid="{F4993E88-A539-4562-8AFD-279A317D0D9F}"/>
    <cellStyle name="Note 3 13" xfId="1925" xr:uid="{D157912C-B95F-443E-9F22-3448F79C27FD}"/>
    <cellStyle name="Note 3 14" xfId="1988" xr:uid="{F2DA809D-1C57-488A-97D0-60889ECEE057}"/>
    <cellStyle name="Note 3 15" xfId="2049" xr:uid="{C92C69DF-6337-4229-9C16-E47C9D7E66E3}"/>
    <cellStyle name="Note 3 16" xfId="2111" xr:uid="{242DB816-ED84-45B0-BDF4-8945F87364F1}"/>
    <cellStyle name="Note 3 17" xfId="2173" xr:uid="{9DE2DF66-7E35-4D19-A6B3-A5094BEE872C}"/>
    <cellStyle name="Note 3 18" xfId="2236" xr:uid="{E6B6A7FA-4D7A-4615-9F77-EF90F15E6D99}"/>
    <cellStyle name="Note 3 19" xfId="2295" xr:uid="{FA89AF47-68FD-4807-A739-2E02599472CB}"/>
    <cellStyle name="Note 3 2" xfId="1116" xr:uid="{980E3CFE-6F15-49B6-9AE7-415B7C66B523}"/>
    <cellStyle name="Note 3 20" xfId="2356" xr:uid="{313DEE88-7C23-4120-B310-A3DF86499FA3}"/>
    <cellStyle name="Note 3 21" xfId="2417" xr:uid="{F1AD6F33-A093-497D-A1F2-10E496AD30B6}"/>
    <cellStyle name="Note 3 22" xfId="2480" xr:uid="{15F47A52-BA4A-4047-88C0-E27667E47D29}"/>
    <cellStyle name="Note 3 23" xfId="2537" xr:uid="{874DAFB2-7D00-4A6C-9316-681510ED8959}"/>
    <cellStyle name="Note 3 24" xfId="2598" xr:uid="{371B65B0-7C57-4005-ADDE-6F9209376589}"/>
    <cellStyle name="Note 3 25" xfId="2658" xr:uid="{6243A9A4-C531-457C-A299-E5728FDB52E7}"/>
    <cellStyle name="Note 3 26" xfId="2705" xr:uid="{6F19B946-D0E7-497E-80FA-09AADC0C4DD7}"/>
    <cellStyle name="Note 3 27" xfId="2757" xr:uid="{747CB54A-AC4E-4712-9F56-C0BF1E214011}"/>
    <cellStyle name="Note 3 28" xfId="2805" xr:uid="{5D6C35BE-B449-4C37-85C8-50117EB34268}"/>
    <cellStyle name="Note 3 29" xfId="2851" xr:uid="{883B5335-67D3-464B-831A-3D3DFDF4EECE}"/>
    <cellStyle name="Note 3 3" xfId="1192" xr:uid="{CDBFC8C9-F4FE-4D2E-89E2-619E819A2D6D}"/>
    <cellStyle name="Note 3 30" xfId="2897" xr:uid="{BC824499-DDF9-4A75-96D7-51F112CE1CE6}"/>
    <cellStyle name="Note 3 31" xfId="2946" xr:uid="{1928BEEF-04B2-4976-B840-587A27B9B1CC}"/>
    <cellStyle name="Note 3 32" xfId="2992" xr:uid="{1CAB1E24-D5E5-488A-857D-0B62108CD017}"/>
    <cellStyle name="Note 3 4" xfId="1268" xr:uid="{0DBC1191-6963-44EC-B712-0C0F14389EDF}"/>
    <cellStyle name="Note 3 5" xfId="1344" xr:uid="{4B2D77CC-0EEA-483D-B1DC-E795C3A24A31}"/>
    <cellStyle name="Note 3 6" xfId="1420" xr:uid="{5A6262D7-D171-4C07-88D9-90DF5EAC5C7B}"/>
    <cellStyle name="Note 3 7" xfId="1495" xr:uid="{B5745E6C-C7E1-44D8-BA6E-79C290649F49}"/>
    <cellStyle name="Note 3 8" xfId="1571" xr:uid="{8BB278EE-F463-42D1-B16E-C5869148B8D1}"/>
    <cellStyle name="Note 3 9" xfId="1646" xr:uid="{6A94DD04-C2EE-498C-B6AB-A8565144653C}"/>
    <cellStyle name="Note 4" xfId="604" xr:uid="{C4B70B6D-441D-4395-A0A8-BFCCF2B43727}"/>
    <cellStyle name="Note 4 10" xfId="1721" xr:uid="{B1490564-643A-4185-AEE3-42F38351A1D3}"/>
    <cellStyle name="Note 4 11" xfId="1797" xr:uid="{272F15B6-865D-4E83-919A-B26BC0E0B969}"/>
    <cellStyle name="Note 4 12" xfId="1861" xr:uid="{2EC9BE8F-CE20-4FA7-839A-1597DEBABF57}"/>
    <cellStyle name="Note 4 13" xfId="1926" xr:uid="{5DEB0552-A241-4383-8CDB-FBED1CB9FC15}"/>
    <cellStyle name="Note 4 14" xfId="1989" xr:uid="{E594AAAA-02B6-4729-A58E-6B3AC44BCFAF}"/>
    <cellStyle name="Note 4 15" xfId="2050" xr:uid="{537EF1EE-5680-40C2-98CC-3E89F024B09B}"/>
    <cellStyle name="Note 4 16" xfId="2112" xr:uid="{4F32E65A-54D3-4C80-AFC6-859A0BE93914}"/>
    <cellStyle name="Note 4 17" xfId="2174" xr:uid="{045D77A3-118E-41D1-8450-CEF99564EFC3}"/>
    <cellStyle name="Note 4 18" xfId="2237" xr:uid="{37C5C766-9682-4048-87C3-CA5D16129049}"/>
    <cellStyle name="Note 4 19" xfId="2296" xr:uid="{6C2E784C-3496-4759-BFD5-7A142AF39D12}"/>
    <cellStyle name="Note 4 2" xfId="1117" xr:uid="{A0CDAFD6-F64C-447E-BE0B-B9B5D8634945}"/>
    <cellStyle name="Note 4 20" xfId="2357" xr:uid="{8BC03A65-E928-4B3D-B641-FD2F097D9A5E}"/>
    <cellStyle name="Note 4 21" xfId="2418" xr:uid="{8F2E25FC-C8AA-4441-9FA5-3DAF076BAFED}"/>
    <cellStyle name="Note 4 22" xfId="2481" xr:uid="{9F6C6915-E37C-4847-8184-81660248AFDC}"/>
    <cellStyle name="Note 4 23" xfId="2538" xr:uid="{A67AE812-9E62-4E57-910C-609C6EE547DA}"/>
    <cellStyle name="Note 4 24" xfId="2599" xr:uid="{1C94061E-8607-4892-9901-9A503B2F6648}"/>
    <cellStyle name="Note 4 25" xfId="2659" xr:uid="{8526D8B6-C750-4BF2-B624-AFF6FDEDB05B}"/>
    <cellStyle name="Note 4 26" xfId="2706" xr:uid="{36475274-5021-4DA4-B216-52B6AFD60098}"/>
    <cellStyle name="Note 4 27" xfId="2758" xr:uid="{5776D2D5-2E77-4422-A2A3-CAD5CE3E9406}"/>
    <cellStyle name="Note 4 28" xfId="2806" xr:uid="{22F9BCDE-5F0F-4101-9353-575C40B1A1E1}"/>
    <cellStyle name="Note 4 29" xfId="2852" xr:uid="{F7CBB847-6BF9-4061-B5FE-057ADF4C9AE1}"/>
    <cellStyle name="Note 4 3" xfId="1193" xr:uid="{52AEF85F-780F-4C7E-A61D-5C93EAB80574}"/>
    <cellStyle name="Note 4 30" xfId="2898" xr:uid="{0F3C4863-F063-41F1-ABF4-90845383C9E3}"/>
    <cellStyle name="Note 4 31" xfId="2947" xr:uid="{A8050D10-A7B5-4C24-842E-52D6CAC256C7}"/>
    <cellStyle name="Note 4 32" xfId="2993" xr:uid="{DCBA53FE-1360-4781-AC67-F29E28518945}"/>
    <cellStyle name="Note 4 4" xfId="1269" xr:uid="{BCE78DDF-91D3-4315-9446-81624642794B}"/>
    <cellStyle name="Note 4 5" xfId="1345" xr:uid="{763C7B1D-77EE-427D-AB11-8388FDD8A010}"/>
    <cellStyle name="Note 4 6" xfId="1421" xr:uid="{0AC4A3AA-741B-4D09-B88A-15046DE93311}"/>
    <cellStyle name="Note 4 7" xfId="1496" xr:uid="{A93869BB-8C7A-40A4-B74B-CD8F87D6E560}"/>
    <cellStyle name="Note 4 8" xfId="1572" xr:uid="{B156FA9C-04FA-4E9C-B270-52B8DC84FC54}"/>
    <cellStyle name="Note 4 9" xfId="1647" xr:uid="{04852BB8-EE02-4082-B83E-CD26FF49B634}"/>
    <cellStyle name="Note 5" xfId="605" xr:uid="{8AB742F4-04F2-4271-B88B-B0A5323F6549}"/>
    <cellStyle name="Note 5 10" xfId="1722" xr:uid="{CB286743-D5A9-446A-B88D-583DD1199B15}"/>
    <cellStyle name="Note 5 11" xfId="1798" xr:uid="{67ABB032-7E0B-420D-AF2C-FC3A4D7E9237}"/>
    <cellStyle name="Note 5 12" xfId="1862" xr:uid="{057F8245-EAA2-48CC-BE57-5089ACCECC74}"/>
    <cellStyle name="Note 5 13" xfId="1927" xr:uid="{7F7B7379-9E2E-4F43-8394-1A009FFE22A4}"/>
    <cellStyle name="Note 5 14" xfId="1990" xr:uid="{9FD704EE-F745-44C1-92C7-23410340544D}"/>
    <cellStyle name="Note 5 15" xfId="2051" xr:uid="{AFE74397-B6DF-4986-9047-2D389EDDB30E}"/>
    <cellStyle name="Note 5 16" xfId="2113" xr:uid="{5BAA3BFE-0FA5-4828-B7A9-0DC3FF77F0B2}"/>
    <cellStyle name="Note 5 17" xfId="2175" xr:uid="{37754DFC-8754-4CA6-9041-0672AB4AE523}"/>
    <cellStyle name="Note 5 18" xfId="2238" xr:uid="{D6D9A4F8-72FD-4AE5-9E9D-AD1F328F430E}"/>
    <cellStyle name="Note 5 19" xfId="2297" xr:uid="{A7AF3D2E-9456-46F2-951F-E8076D238BE2}"/>
    <cellStyle name="Note 5 2" xfId="1118" xr:uid="{BBF723D4-4908-4462-8D70-0D217BAF9FA9}"/>
    <cellStyle name="Note 5 20" xfId="2358" xr:uid="{E7BE881E-82ED-4E4D-B041-935D9948CC0B}"/>
    <cellStyle name="Note 5 21" xfId="2419" xr:uid="{2D65584E-0A90-48E0-93A2-F6B810D6863C}"/>
    <cellStyle name="Note 5 22" xfId="2482" xr:uid="{6736E922-FF6A-42B4-88A3-DF251374059E}"/>
    <cellStyle name="Note 5 23" xfId="2539" xr:uid="{4AF7E76C-191B-4007-BE28-941D28FA3EF5}"/>
    <cellStyle name="Note 5 24" xfId="2600" xr:uid="{ED936336-0D47-4B11-A702-C5CE38CB61B4}"/>
    <cellStyle name="Note 5 25" xfId="2660" xr:uid="{AAD87716-E83D-4A9A-B510-7F00CA8BFF9F}"/>
    <cellStyle name="Note 5 26" xfId="2707" xr:uid="{F0E127C6-C77D-4E06-8FAD-33441FA594E1}"/>
    <cellStyle name="Note 5 27" xfId="2759" xr:uid="{AA5CD6E1-2A2C-4501-9660-BAA5524B3E27}"/>
    <cellStyle name="Note 5 28" xfId="2807" xr:uid="{FDF5164A-4647-45D8-928A-AE61EA47F39B}"/>
    <cellStyle name="Note 5 29" xfId="2853" xr:uid="{7EEC7C42-524A-4AAA-A01A-8B84AAA1570F}"/>
    <cellStyle name="Note 5 3" xfId="1194" xr:uid="{DB99B4C9-8BF9-491A-BB96-8D27EFB0B682}"/>
    <cellStyle name="Note 5 30" xfId="2899" xr:uid="{538E8A14-3E0F-4571-8990-13275EF63B43}"/>
    <cellStyle name="Note 5 31" xfId="2948" xr:uid="{20D8CFF9-2563-410E-A50C-A0921E2D20D7}"/>
    <cellStyle name="Note 5 32" xfId="2994" xr:uid="{33A2CCAB-B171-465D-B2CE-FF9ECF2FF459}"/>
    <cellStyle name="Note 5 4" xfId="1270" xr:uid="{99408261-A01E-4334-89C5-3F165F87D7F7}"/>
    <cellStyle name="Note 5 5" xfId="1346" xr:uid="{B8862909-2D87-4879-A848-EBA3838D7C12}"/>
    <cellStyle name="Note 5 6" xfId="1422" xr:uid="{B437F8A6-FF9F-472A-9B35-944EA0A688DA}"/>
    <cellStyle name="Note 5 7" xfId="1497" xr:uid="{921529B8-3FA3-4C82-8569-58AD18FDDEB9}"/>
    <cellStyle name="Note 5 8" xfId="1573" xr:uid="{72F84F2F-D73A-4EF1-B491-EB88451167ED}"/>
    <cellStyle name="Note 5 9" xfId="1648" xr:uid="{D4456EFF-C344-4A1F-84E0-A1F08B2DBCFC}"/>
    <cellStyle name="Note 6" xfId="606" xr:uid="{4DA96F78-5D44-4A65-8118-F5C277DE41CF}"/>
    <cellStyle name="Note 6 10" xfId="1723" xr:uid="{E0FDDA93-67CF-4A3E-BFE5-DF7C8A3C310F}"/>
    <cellStyle name="Note 6 11" xfId="1799" xr:uid="{0F395A26-0B4B-4239-95F4-85C3858EE27D}"/>
    <cellStyle name="Note 6 12" xfId="1863" xr:uid="{4D81D0EE-15F9-4922-B2ED-304A3EF45CB0}"/>
    <cellStyle name="Note 6 13" xfId="1928" xr:uid="{DC3CDA63-D7F2-43FC-BA41-C82D82B62CBD}"/>
    <cellStyle name="Note 6 14" xfId="1991" xr:uid="{E6549688-270E-417A-AD21-957FE79F183A}"/>
    <cellStyle name="Note 6 15" xfId="2052" xr:uid="{F0DCF127-E2EF-4FCD-96E2-27E1E2CD7778}"/>
    <cellStyle name="Note 6 16" xfId="2114" xr:uid="{F98A815C-A10D-4BE9-A6D1-5887794E5B18}"/>
    <cellStyle name="Note 6 17" xfId="2176" xr:uid="{4ED7C1CB-BD8E-4681-B04B-ABE15BF7D533}"/>
    <cellStyle name="Note 6 18" xfId="2239" xr:uid="{25B0A643-02BE-4A03-9772-701F26B21595}"/>
    <cellStyle name="Note 6 19" xfId="2298" xr:uid="{6FC4E586-9720-4872-847B-FB7E2B22392C}"/>
    <cellStyle name="Note 6 2" xfId="1119" xr:uid="{B35DE727-3F8D-4BAB-AB15-0B3A43C4D940}"/>
    <cellStyle name="Note 6 20" xfId="2359" xr:uid="{5C684F68-79FE-48D5-85D8-5A9C0A4613B1}"/>
    <cellStyle name="Note 6 21" xfId="2420" xr:uid="{B61B20E7-4DD2-4BB8-8CC1-5B72E94631EE}"/>
    <cellStyle name="Note 6 22" xfId="2483" xr:uid="{CE27F89F-B816-414B-BC3E-8BBC8BD1D583}"/>
    <cellStyle name="Note 6 23" xfId="2540" xr:uid="{7D3890C2-D3BB-4294-8D4F-1C50249CB74F}"/>
    <cellStyle name="Note 6 24" xfId="2601" xr:uid="{AFB5EF8B-F95E-4776-B8FA-0B57B5AE6F9F}"/>
    <cellStyle name="Note 6 25" xfId="2661" xr:uid="{B61E8898-88E7-4AD8-A776-04A8F8399711}"/>
    <cellStyle name="Note 6 26" xfId="2708" xr:uid="{29370D8E-D1E1-46DB-AFB0-84B9F51D9271}"/>
    <cellStyle name="Note 6 27" xfId="2760" xr:uid="{E1C39A2D-96F6-4C22-8977-CC3E42571074}"/>
    <cellStyle name="Note 6 28" xfId="2808" xr:uid="{CF134792-1DC2-4FD0-AEB2-3B6C2C7AC5D1}"/>
    <cellStyle name="Note 6 29" xfId="2854" xr:uid="{D21EEB5E-D9FF-43B6-9BF3-13F838519A01}"/>
    <cellStyle name="Note 6 3" xfId="1195" xr:uid="{EBD76756-035F-42E2-BBE3-22048EA20254}"/>
    <cellStyle name="Note 6 30" xfId="2900" xr:uid="{B3B2119F-12EB-4BE0-BC5B-9BD19E6A3357}"/>
    <cellStyle name="Note 6 31" xfId="2949" xr:uid="{9B2D92EE-4673-4F99-93A6-369688B21CF3}"/>
    <cellStyle name="Note 6 32" xfId="2995" xr:uid="{FF7E915A-D312-42A4-A36D-3DC89D681E7E}"/>
    <cellStyle name="Note 6 4" xfId="1271" xr:uid="{90511262-1A33-49EA-8223-D66E9CAF67C0}"/>
    <cellStyle name="Note 6 5" xfId="1347" xr:uid="{1396DF80-C356-4236-A5A3-FC9062BA1B22}"/>
    <cellStyle name="Note 6 6" xfId="1423" xr:uid="{BDFF6D54-862E-44E1-97F3-A62FE16B4E91}"/>
    <cellStyle name="Note 6 7" xfId="1498" xr:uid="{E7DAD812-8C10-4E3D-8A8B-E236EFA7B8A5}"/>
    <cellStyle name="Note 6 8" xfId="1574" xr:uid="{61E67626-BA70-4D46-917C-4EB76AE687A4}"/>
    <cellStyle name="Note 6 9" xfId="1649" xr:uid="{B96B03A3-A87C-44D6-8CBF-6703B2AF22A8}"/>
    <cellStyle name="Note 7" xfId="607" xr:uid="{F4DD1135-87A0-43E1-8DE7-4D4797C6F892}"/>
    <cellStyle name="Note 7 10" xfId="1724" xr:uid="{11BB48A9-648C-40E3-BF8A-4E6FEA0496E7}"/>
    <cellStyle name="Note 7 11" xfId="1800" xr:uid="{2C05A9E9-4CC3-4123-951C-B4FD0C75AE6F}"/>
    <cellStyle name="Note 7 12" xfId="1864" xr:uid="{D9777816-45CC-4EAA-9EEB-B32B75FF90F2}"/>
    <cellStyle name="Note 7 13" xfId="1929" xr:uid="{EA8B8CDD-6897-4B53-A9F5-3E219FD6454D}"/>
    <cellStyle name="Note 7 14" xfId="1992" xr:uid="{C161AEC8-455B-496C-B5B1-C54610A59A06}"/>
    <cellStyle name="Note 7 15" xfId="2053" xr:uid="{94D4FDE2-9101-4D04-B83E-1F5C2CE23CBD}"/>
    <cellStyle name="Note 7 16" xfId="2115" xr:uid="{B1CF9169-B285-454D-ADBA-7DB8FCC814DB}"/>
    <cellStyle name="Note 7 17" xfId="2177" xr:uid="{A6967A2E-AD84-4C48-80CB-B4874A2530FD}"/>
    <cellStyle name="Note 7 18" xfId="2240" xr:uid="{D5C6D918-A5F7-483A-B460-9100C7B8ED73}"/>
    <cellStyle name="Note 7 19" xfId="2299" xr:uid="{C1F771F1-7721-4564-A94B-37BF241D8484}"/>
    <cellStyle name="Note 7 2" xfId="1120" xr:uid="{7A689622-0784-423F-B3BF-068458939EAD}"/>
    <cellStyle name="Note 7 20" xfId="2360" xr:uid="{C5678F52-3936-4EDD-919C-4359FD0181C0}"/>
    <cellStyle name="Note 7 21" xfId="2421" xr:uid="{0F00A54D-8F73-42AE-BB73-594D5078019E}"/>
    <cellStyle name="Note 7 22" xfId="2484" xr:uid="{70E48680-F2E9-44B1-B847-E668FE108E0D}"/>
    <cellStyle name="Note 7 23" xfId="2541" xr:uid="{87C4E3D4-193F-4DEE-B038-2C0C7E77250F}"/>
    <cellStyle name="Note 7 24" xfId="2602" xr:uid="{7502A3CD-8997-48DD-BDDE-3CA3D4C4EAC6}"/>
    <cellStyle name="Note 7 25" xfId="2662" xr:uid="{758742DA-9267-4BB2-AF6D-EC7D179EC8B1}"/>
    <cellStyle name="Note 7 26" xfId="2709" xr:uid="{855801DD-491F-4FCB-A93A-DD24205DCE72}"/>
    <cellStyle name="Note 7 27" xfId="2761" xr:uid="{0B0F799C-2FFD-494C-86E9-14E57C065D4C}"/>
    <cellStyle name="Note 7 28" xfId="2809" xr:uid="{4BD56E0C-4A69-4FC0-8190-53E96044B5D6}"/>
    <cellStyle name="Note 7 29" xfId="2855" xr:uid="{58D4659C-0DA5-4DE6-8022-60AB27B6B0C1}"/>
    <cellStyle name="Note 7 3" xfId="1196" xr:uid="{20A3CE8F-E4DD-4D6D-A5FF-EF120DEC37F6}"/>
    <cellStyle name="Note 7 30" xfId="2901" xr:uid="{6D4E6700-91DE-4769-9665-EB18F19F87E0}"/>
    <cellStyle name="Note 7 31" xfId="2950" xr:uid="{3B12848E-88A7-4B1D-8FBC-231F80EF58ED}"/>
    <cellStyle name="Note 7 32" xfId="2996" xr:uid="{30FF20A1-F938-4D40-B4C7-4318E0C06036}"/>
    <cellStyle name="Note 7 4" xfId="1272" xr:uid="{054F2240-AE0B-432E-9E91-69A9B05C6F18}"/>
    <cellStyle name="Note 7 5" xfId="1348" xr:uid="{B24C98AA-A585-4190-B8FA-A11E02D34E23}"/>
    <cellStyle name="Note 7 6" xfId="1424" xr:uid="{A3293FAA-E4F1-43E6-BDC7-72294E3CC894}"/>
    <cellStyle name="Note 7 7" xfId="1499" xr:uid="{ADC414C2-C55B-44B7-9464-58B2D65C34D9}"/>
    <cellStyle name="Note 7 8" xfId="1575" xr:uid="{4EFE026A-7393-4D20-A1E5-0284446513F5}"/>
    <cellStyle name="Note 7 9" xfId="1650" xr:uid="{D36C8CE7-EBD6-4309-B3E3-3EA5514423BD}"/>
    <cellStyle name="Note 8" xfId="608" xr:uid="{5DDC2685-EE8A-41AD-B7A7-6E8EBD2C9586}"/>
    <cellStyle name="Note 8 10" xfId="1725" xr:uid="{7A0A6F0D-875D-487D-BF17-88F852412534}"/>
    <cellStyle name="Note 8 11" xfId="1801" xr:uid="{602CA99D-B730-4FA3-AA71-E40E52C2BB87}"/>
    <cellStyle name="Note 8 12" xfId="1865" xr:uid="{7FDAC856-9345-44D3-B247-AA48A3494378}"/>
    <cellStyle name="Note 8 13" xfId="1930" xr:uid="{F8501A8F-329E-46DF-938E-7079622D0AE6}"/>
    <cellStyle name="Note 8 14" xfId="1993" xr:uid="{1D32BDCC-CF34-4404-BFEC-6EE2A2B492F5}"/>
    <cellStyle name="Note 8 15" xfId="2054" xr:uid="{313FF056-A013-4914-A564-41FBF983CF0E}"/>
    <cellStyle name="Note 8 16" xfId="2116" xr:uid="{87D4F4B0-9CED-4C7A-8337-4BCB3B91819D}"/>
    <cellStyle name="Note 8 17" xfId="2178" xr:uid="{1A13F3ED-FC91-4C25-9F52-2A2ECF16EECF}"/>
    <cellStyle name="Note 8 18" xfId="2241" xr:uid="{A1BD6FCC-6A70-41C1-BC20-158158FF3F8B}"/>
    <cellStyle name="Note 8 19" xfId="2300" xr:uid="{1177BDBC-4FEE-4F1A-BFF4-C83D358DCBC4}"/>
    <cellStyle name="Note 8 2" xfId="1121" xr:uid="{F2ED3AAE-C00D-4637-9E46-5D3422C7E4AA}"/>
    <cellStyle name="Note 8 20" xfId="2361" xr:uid="{AD56E7A4-8639-4CC6-8049-1EF31D804982}"/>
    <cellStyle name="Note 8 21" xfId="2422" xr:uid="{7D58E205-D833-4D7B-B4E0-EA7792711985}"/>
    <cellStyle name="Note 8 22" xfId="2485" xr:uid="{F8758EC0-7E32-4E59-8DF9-96279CD76778}"/>
    <cellStyle name="Note 8 23" xfId="2542" xr:uid="{F935D483-44DF-4D1F-8BBE-0E13FF77347B}"/>
    <cellStyle name="Note 8 24" xfId="2603" xr:uid="{12C269DC-2958-4AD1-9760-459E183BE7C0}"/>
    <cellStyle name="Note 8 25" xfId="2663" xr:uid="{BCC4052E-EA6C-4833-85D6-989E1F414E37}"/>
    <cellStyle name="Note 8 26" xfId="2710" xr:uid="{8F411D01-AEF4-4639-845F-9BF767A04604}"/>
    <cellStyle name="Note 8 27" xfId="2762" xr:uid="{B5AADFE2-6527-4505-BB01-F112004AE897}"/>
    <cellStyle name="Note 8 28" xfId="2810" xr:uid="{6B774662-4703-4811-887C-866EC42EC2C2}"/>
    <cellStyle name="Note 8 29" xfId="2856" xr:uid="{19F8F41F-D60F-42CD-A251-5B72DA934990}"/>
    <cellStyle name="Note 8 3" xfId="1197" xr:uid="{C2D9A7F8-0E85-4FFC-95A6-0EFE97990AC2}"/>
    <cellStyle name="Note 8 30" xfId="2902" xr:uid="{208A92C9-65BA-4258-88AA-4ED1DD30AC03}"/>
    <cellStyle name="Note 8 31" xfId="2951" xr:uid="{752BB5D0-407C-49E0-AC9D-2E2CBE273CB2}"/>
    <cellStyle name="Note 8 32" xfId="2997" xr:uid="{8412A0DB-C2F5-47F1-B932-625FA29ADC0B}"/>
    <cellStyle name="Note 8 4" xfId="1273" xr:uid="{85EC6FD5-15D1-43EB-8481-AD1E791E3F18}"/>
    <cellStyle name="Note 8 5" xfId="1349" xr:uid="{DC2E822E-3B2D-48FF-A0FF-48EDA578C262}"/>
    <cellStyle name="Note 8 6" xfId="1425" xr:uid="{DD5EB6CB-6649-44EF-B1F5-4128D22B9F5B}"/>
    <cellStyle name="Note 8 7" xfId="1500" xr:uid="{818F505D-C499-4E00-A1F3-ECE73B6666A2}"/>
    <cellStyle name="Note 8 8" xfId="1576" xr:uid="{FFAE714F-112D-4B7C-B279-280EB0728BDD}"/>
    <cellStyle name="Note 8 9" xfId="1651" xr:uid="{BEBC3011-62FE-4CE7-9B2F-44C2DD9EE9F5}"/>
    <cellStyle name="Note 9" xfId="609" xr:uid="{813CD5AA-548B-43C8-BEA6-2AA658FF0343}"/>
    <cellStyle name="Note 9 10" xfId="1726" xr:uid="{A77E12D1-4370-4885-B9B6-10BC011B2968}"/>
    <cellStyle name="Note 9 11" xfId="1802" xr:uid="{4ABAD8CB-36D9-43B0-B7B6-C78685DD3DAE}"/>
    <cellStyle name="Note 9 12" xfId="1866" xr:uid="{C06E45FE-CA3E-4425-95C6-0CDA25840587}"/>
    <cellStyle name="Note 9 13" xfId="1931" xr:uid="{F37BD6DF-AC54-4716-BD3A-09ADB690FBBE}"/>
    <cellStyle name="Note 9 14" xfId="1994" xr:uid="{892EC407-24E4-4E22-A98D-71421A890D76}"/>
    <cellStyle name="Note 9 15" xfId="2055" xr:uid="{A9C4FAB2-EBE5-4F1A-85FA-2D09E706B26E}"/>
    <cellStyle name="Note 9 16" xfId="2117" xr:uid="{6EC399B1-FD75-49EF-A1FE-B838F16DE967}"/>
    <cellStyle name="Note 9 17" xfId="2179" xr:uid="{73ED7B43-F944-48FE-93E3-F394E649F635}"/>
    <cellStyle name="Note 9 18" xfId="2242" xr:uid="{7C77F2F0-7F8C-498D-8354-20A9AB27A140}"/>
    <cellStyle name="Note 9 19" xfId="2301" xr:uid="{740B7C2B-B1D2-45DB-8B95-75CF78BE853C}"/>
    <cellStyle name="Note 9 2" xfId="1122" xr:uid="{8C7C2E3F-B4DA-4B5E-BCE3-784A24EDB576}"/>
    <cellStyle name="Note 9 20" xfId="2362" xr:uid="{8B7B258D-3A5F-47EB-9A9B-B8D957E67C1A}"/>
    <cellStyle name="Note 9 21" xfId="2423" xr:uid="{CF6DAEC2-554A-4F65-B516-58309DA3E4B7}"/>
    <cellStyle name="Note 9 22" xfId="2486" xr:uid="{19A80414-47D0-497E-A801-B065B381743F}"/>
    <cellStyle name="Note 9 23" xfId="2543" xr:uid="{95EB970B-4F84-4745-8C91-5AEAEBBC947A}"/>
    <cellStyle name="Note 9 24" xfId="2604" xr:uid="{75D1BBA1-EAA9-4E46-A99F-F763EC0DFBA6}"/>
    <cellStyle name="Note 9 25" xfId="2664" xr:uid="{B9D86DA5-8062-4C6B-B3F4-45EC6195EC8B}"/>
    <cellStyle name="Note 9 26" xfId="2711" xr:uid="{55A48D39-2A7F-4D9A-A370-AAD312ABA1E3}"/>
    <cellStyle name="Note 9 27" xfId="2763" xr:uid="{B8466500-ED3F-46CB-8762-762635993E77}"/>
    <cellStyle name="Note 9 28" xfId="2811" xr:uid="{FC8BE205-6468-4271-8E8A-DD615BA6B572}"/>
    <cellStyle name="Note 9 29" xfId="2857" xr:uid="{0347469A-D8A7-43ED-B6EA-E13BF7455FB2}"/>
    <cellStyle name="Note 9 3" xfId="1198" xr:uid="{3A83CD4A-5EEB-4AE6-AA8E-4AD57057F723}"/>
    <cellStyle name="Note 9 30" xfId="2903" xr:uid="{CAB21DD7-8864-4EDA-B24E-B5F9C27432E3}"/>
    <cellStyle name="Note 9 31" xfId="2952" xr:uid="{3A2A7926-93DE-42D2-87A8-10B16DD27766}"/>
    <cellStyle name="Note 9 32" xfId="2998" xr:uid="{945D722F-8BE9-4BEA-BE06-C176F6B5ACD9}"/>
    <cellStyle name="Note 9 4" xfId="1274" xr:uid="{4802AC3D-3B8E-4A0B-B040-1FF5A0DF73DD}"/>
    <cellStyle name="Note 9 5" xfId="1350" xr:uid="{E8EA6548-F112-461D-B8FE-1023281E76BB}"/>
    <cellStyle name="Note 9 6" xfId="1426" xr:uid="{D5B672F1-8077-43AE-84AA-7D2354586E66}"/>
    <cellStyle name="Note 9 7" xfId="1501" xr:uid="{D758323E-C732-4D73-8BF3-522DFB10D76F}"/>
    <cellStyle name="Note 9 8" xfId="1577" xr:uid="{300902D2-A14A-4942-A17F-40751BE3E832}"/>
    <cellStyle name="Note 9 9" xfId="1652" xr:uid="{A2BA0E97-DBBF-47A8-A071-314B179872B2}"/>
    <cellStyle name="Output 10" xfId="610" xr:uid="{3E60B045-0A72-4B88-A0F4-DC70E89A5036}"/>
    <cellStyle name="Output 10 10" xfId="1727" xr:uid="{4F71A519-DBA1-4627-AFE9-7D3EDF5A998A}"/>
    <cellStyle name="Output 10 11" xfId="1803" xr:uid="{88710A3F-AFC7-409C-9E50-B6CEF1DB02B4}"/>
    <cellStyle name="Output 10 12" xfId="1867" xr:uid="{A153C2D1-8923-44DA-B8AC-3AE6E1741279}"/>
    <cellStyle name="Output 10 13" xfId="1932" xr:uid="{05DC7D69-5A48-4BF7-A392-4F599AAE5157}"/>
    <cellStyle name="Output 10 14" xfId="1995" xr:uid="{5D633D74-A7F7-4D65-A27C-23B0AB14761D}"/>
    <cellStyle name="Output 10 15" xfId="2056" xr:uid="{00A3BEDA-9CC9-46EE-8D8E-2FF2C43E0624}"/>
    <cellStyle name="Output 10 16" xfId="2118" xr:uid="{F56C8BA7-E832-414C-A121-B3CEDEADEBA0}"/>
    <cellStyle name="Output 10 17" xfId="2180" xr:uid="{7D29D4C9-956B-40C0-ADA1-69353AB90B59}"/>
    <cellStyle name="Output 10 18" xfId="2243" xr:uid="{7847F83E-A6C4-409A-BD17-8DE8A1BB2911}"/>
    <cellStyle name="Output 10 19" xfId="2302" xr:uid="{6944AC13-0941-4CE8-8516-7362297742C4}"/>
    <cellStyle name="Output 10 2" xfId="1123" xr:uid="{889564C3-C073-4EB7-B353-3EE4487B2D80}"/>
    <cellStyle name="Output 10 20" xfId="2363" xr:uid="{B2BA1C14-11AB-4A72-8B86-FB15864435CE}"/>
    <cellStyle name="Output 10 21" xfId="2424" xr:uid="{AAB16528-992C-47AB-85FE-E552543FCA6C}"/>
    <cellStyle name="Output 10 22" xfId="2487" xr:uid="{ECD85286-9778-4E8B-9F4C-D8511311897A}"/>
    <cellStyle name="Output 10 23" xfId="2544" xr:uid="{96CDDCEB-B70D-45E3-9ED7-58ED71408EFE}"/>
    <cellStyle name="Output 10 24" xfId="2605" xr:uid="{3BAB7F0F-493F-4D7E-AE4D-30B49BDB64D6}"/>
    <cellStyle name="Output 10 25" xfId="2665" xr:uid="{585379D0-A625-43A9-BB0C-B3C7D3CCC432}"/>
    <cellStyle name="Output 10 26" xfId="2712" xr:uid="{268F2E7F-A898-4464-A2B2-79E4111753C7}"/>
    <cellStyle name="Output 10 27" xfId="2764" xr:uid="{1B879092-13D8-474A-A371-9C8DE34081F9}"/>
    <cellStyle name="Output 10 28" xfId="2812" xr:uid="{CEAB1F01-226B-460C-88B8-E7DCE326058D}"/>
    <cellStyle name="Output 10 29" xfId="2858" xr:uid="{E2CF01E4-CB62-4E5C-BE0D-2D3DF2D7284A}"/>
    <cellStyle name="Output 10 3" xfId="1199" xr:uid="{310D1523-6D39-4C86-BA46-9B7FA5AB2EE6}"/>
    <cellStyle name="Output 10 30" xfId="2904" xr:uid="{FAC8EE7C-17A8-4676-A976-01F1D973D402}"/>
    <cellStyle name="Output 10 31" xfId="2953" xr:uid="{107F615F-AD80-4D9C-8761-839107B2AAE9}"/>
    <cellStyle name="Output 10 32" xfId="2999" xr:uid="{FECA5ABA-805B-41B9-A3FE-6EFC41FB7C89}"/>
    <cellStyle name="Output 10 4" xfId="1275" xr:uid="{6F085ACF-7F98-45FD-B3D9-2D4AC7FC570D}"/>
    <cellStyle name="Output 10 5" xfId="1351" xr:uid="{99A9A5E9-A948-4412-ADC1-3E053B4798DD}"/>
    <cellStyle name="Output 10 6" xfId="1427" xr:uid="{8C8AF1C2-BAEA-4C54-8168-B5C4F0876E1D}"/>
    <cellStyle name="Output 10 7" xfId="1502" xr:uid="{36563C43-2E53-4B61-B959-C5225254531C}"/>
    <cellStyle name="Output 10 8" xfId="1578" xr:uid="{BA71B7A2-09BF-45BC-A2C4-55D6A868926F}"/>
    <cellStyle name="Output 10 9" xfId="1653" xr:uid="{D0041FE5-C652-461F-8FFD-EE3195D0AEB6}"/>
    <cellStyle name="Output 11" xfId="611" xr:uid="{E9587357-BC59-4D8C-9762-D34E788592B5}"/>
    <cellStyle name="Output 11 10" xfId="1728" xr:uid="{22D50F02-A3ED-44FB-A7A5-FBF08A718789}"/>
    <cellStyle name="Output 11 11" xfId="1804" xr:uid="{6B30C58F-F7E3-4319-B858-9C1BCB0E21FB}"/>
    <cellStyle name="Output 11 12" xfId="1868" xr:uid="{6AC210FA-5259-4824-871E-6F8FD3C35AE7}"/>
    <cellStyle name="Output 11 13" xfId="1933" xr:uid="{1434237C-7405-4C89-9DAC-B7D9D6CF2B13}"/>
    <cellStyle name="Output 11 14" xfId="1996" xr:uid="{8414B27B-6716-472F-BB50-F87B8CC50A2C}"/>
    <cellStyle name="Output 11 15" xfId="2057" xr:uid="{4D10EB2E-0E14-4E8C-87E7-71820163B097}"/>
    <cellStyle name="Output 11 16" xfId="2119" xr:uid="{11FE3253-FCFB-4D18-84F2-CD31B15CF78A}"/>
    <cellStyle name="Output 11 17" xfId="2181" xr:uid="{2EDB1525-39A4-4DAB-BC91-8F187501AEEB}"/>
    <cellStyle name="Output 11 18" xfId="2244" xr:uid="{1092A5F2-CE6E-4201-8442-3A5A2514176F}"/>
    <cellStyle name="Output 11 19" xfId="2303" xr:uid="{7CFAC7E3-28AC-4335-844A-2B149A47D0B0}"/>
    <cellStyle name="Output 11 2" xfId="1124" xr:uid="{1599CA0B-1188-4BA2-B8B0-4DAD021348EE}"/>
    <cellStyle name="Output 11 20" xfId="2364" xr:uid="{D51D5442-8D8D-442D-AD32-1AC21FA420C5}"/>
    <cellStyle name="Output 11 21" xfId="2425" xr:uid="{91E17395-810E-4FF5-A832-7C1CA3583087}"/>
    <cellStyle name="Output 11 22" xfId="2488" xr:uid="{3F046326-CDBC-43D6-94EF-2EF4C3B57102}"/>
    <cellStyle name="Output 11 23" xfId="2545" xr:uid="{9179E650-11E8-4180-8831-089D507B58E6}"/>
    <cellStyle name="Output 11 24" xfId="2606" xr:uid="{4FFEA844-56E5-4B98-95A4-657984047CEA}"/>
    <cellStyle name="Output 11 25" xfId="2666" xr:uid="{7A25FD72-1449-44AB-8BB0-6C044D236F70}"/>
    <cellStyle name="Output 11 26" xfId="2713" xr:uid="{D7CE1EFC-5BFF-4D0F-B04C-0F602CDA33EF}"/>
    <cellStyle name="Output 11 27" xfId="2765" xr:uid="{CB4BFD59-DB5B-456D-BB01-857A5BAC9588}"/>
    <cellStyle name="Output 11 28" xfId="2813" xr:uid="{BA189041-F15E-4CE0-A8C3-2DF66A0C6915}"/>
    <cellStyle name="Output 11 29" xfId="2859" xr:uid="{2DC94E73-FC36-4CA0-A4C7-4DFC37327ADE}"/>
    <cellStyle name="Output 11 3" xfId="1200" xr:uid="{10F132F6-955D-4C5B-B5F5-E3E2BE7D207C}"/>
    <cellStyle name="Output 11 30" xfId="2905" xr:uid="{CC518FE1-86A7-4745-9A89-0DC43AF051B3}"/>
    <cellStyle name="Output 11 31" xfId="2954" xr:uid="{E5266A44-8234-4050-90F2-DD4F23351C9F}"/>
    <cellStyle name="Output 11 32" xfId="3000" xr:uid="{3C91261C-A4EC-4481-8C31-7080200B1E82}"/>
    <cellStyle name="Output 11 4" xfId="1276" xr:uid="{1EDB0D6C-25DE-482E-882B-AB0ADF1F6BD1}"/>
    <cellStyle name="Output 11 5" xfId="1352" xr:uid="{E64A87C2-E60E-40B0-9C32-5B660A8A1ADB}"/>
    <cellStyle name="Output 11 6" xfId="1428" xr:uid="{F0DD6E98-E172-4092-9D13-256DDA9B5B18}"/>
    <cellStyle name="Output 11 7" xfId="1503" xr:uid="{8A708BB2-B2A5-4A1B-82EB-924550BB2667}"/>
    <cellStyle name="Output 11 8" xfId="1579" xr:uid="{DA2DA20E-06F0-4A74-9760-22C467562F82}"/>
    <cellStyle name="Output 11 9" xfId="1654" xr:uid="{E84DE9E1-7A5B-44D7-9D18-F03DE353C3EE}"/>
    <cellStyle name="Output 12" xfId="612" xr:uid="{850F3967-C15E-4C6C-8937-F6A636789DC1}"/>
    <cellStyle name="Output 12 10" xfId="1729" xr:uid="{BB3E9D19-A215-4843-BEAE-DC80F8D41F18}"/>
    <cellStyle name="Output 12 11" xfId="1805" xr:uid="{AC5FD5F5-2697-48B3-AE3E-D91248F2ACC1}"/>
    <cellStyle name="Output 12 12" xfId="1869" xr:uid="{3B0AC2A5-8ED1-434C-8925-723012271989}"/>
    <cellStyle name="Output 12 13" xfId="1934" xr:uid="{C0445B33-D6E7-45A7-AFB1-090B06695EFF}"/>
    <cellStyle name="Output 12 14" xfId="1997" xr:uid="{4C83E17C-C356-491D-AF04-E16F990E4D79}"/>
    <cellStyle name="Output 12 15" xfId="2058" xr:uid="{52C4F4F9-DAA5-4007-A745-1D46B9B5E076}"/>
    <cellStyle name="Output 12 16" xfId="2120" xr:uid="{401B21F7-CDCA-461D-A804-C257F49F64D1}"/>
    <cellStyle name="Output 12 17" xfId="2182" xr:uid="{0E696B67-EFE6-4007-A374-AC18CA192359}"/>
    <cellStyle name="Output 12 18" xfId="2245" xr:uid="{9E9E5960-1BBC-46C4-BFEF-24D11C2D2266}"/>
    <cellStyle name="Output 12 19" xfId="2304" xr:uid="{2BBF752A-F81C-431D-9547-AB28BFA59BB7}"/>
    <cellStyle name="Output 12 2" xfId="1125" xr:uid="{35D07D92-2B6F-4CF9-AC25-93F98827F6AC}"/>
    <cellStyle name="Output 12 20" xfId="2365" xr:uid="{62609B9B-79E5-4F32-9A25-213E62351333}"/>
    <cellStyle name="Output 12 21" xfId="2426" xr:uid="{593F47C8-1ED0-44DB-B5AD-ADED45EEC678}"/>
    <cellStyle name="Output 12 22" xfId="2489" xr:uid="{4CFA656B-8A56-407B-B5CC-371497E24773}"/>
    <cellStyle name="Output 12 23" xfId="2546" xr:uid="{7D553C76-068F-4912-A0B8-AA7ADE7892D0}"/>
    <cellStyle name="Output 12 24" xfId="2607" xr:uid="{2DBFEE0E-3F4C-4A93-969F-1BF59312D396}"/>
    <cellStyle name="Output 12 25" xfId="2667" xr:uid="{4D18D9CE-DE5E-4F64-A76C-746B9E535799}"/>
    <cellStyle name="Output 12 26" xfId="2714" xr:uid="{348B41B1-A43C-45DC-A4DE-8C673E3409CD}"/>
    <cellStyle name="Output 12 27" xfId="2766" xr:uid="{7203C13A-2DA7-4F2A-ADC4-941B6C74ABB4}"/>
    <cellStyle name="Output 12 28" xfId="2814" xr:uid="{CA7F27C0-6F08-413A-91EC-FE988FB0B183}"/>
    <cellStyle name="Output 12 29" xfId="2860" xr:uid="{E9CB6BDA-6907-4E91-BF06-5F91F7890529}"/>
    <cellStyle name="Output 12 3" xfId="1201" xr:uid="{A9D16495-C63B-4C13-B48F-C25EB36F4F8D}"/>
    <cellStyle name="Output 12 30" xfId="2906" xr:uid="{5107E0B4-C4FE-472E-A828-B38A13EA8E4C}"/>
    <cellStyle name="Output 12 31" xfId="2955" xr:uid="{5544D2C9-7D0D-4C30-9E94-EF99DA656F67}"/>
    <cellStyle name="Output 12 32" xfId="3001" xr:uid="{ACCAE454-FEAD-4458-980A-9FC35720EF81}"/>
    <cellStyle name="Output 12 4" xfId="1277" xr:uid="{36310780-14A7-4845-B3CF-188BED772C2C}"/>
    <cellStyle name="Output 12 5" xfId="1353" xr:uid="{12AA91F3-3F37-4C71-95EC-26A6DD68B442}"/>
    <cellStyle name="Output 12 6" xfId="1429" xr:uid="{F6187108-B7C2-4EC9-A4BA-0941A88BC9A6}"/>
    <cellStyle name="Output 12 7" xfId="1504" xr:uid="{546C6D04-91C8-43E7-AB43-DB3871BDB918}"/>
    <cellStyle name="Output 12 8" xfId="1580" xr:uid="{BDA30187-3BF0-475B-89AB-FE3E9A34E29A}"/>
    <cellStyle name="Output 12 9" xfId="1655" xr:uid="{6841745B-9D29-45E3-AB98-B9AEF92AE767}"/>
    <cellStyle name="Output 13" xfId="613" xr:uid="{6615F652-807B-435F-A013-8A65EA7AF624}"/>
    <cellStyle name="Output 13 10" xfId="1730" xr:uid="{D7E9416E-340E-4C18-9729-DBE11E268FA1}"/>
    <cellStyle name="Output 13 11" xfId="1806" xr:uid="{6194FD49-9BC6-4539-AAF9-6A8DC8B31992}"/>
    <cellStyle name="Output 13 12" xfId="1870" xr:uid="{9791BBB0-11C3-460E-8CC7-F0F036D4AA16}"/>
    <cellStyle name="Output 13 13" xfId="1935" xr:uid="{5AD7FFBC-C99B-484E-878D-B6264A81F374}"/>
    <cellStyle name="Output 13 14" xfId="1998" xr:uid="{DB0EB749-4AE4-487E-A30A-0C35301E34F0}"/>
    <cellStyle name="Output 13 15" xfId="2059" xr:uid="{3EB7D455-97D9-4B0E-88FF-336317D1FC93}"/>
    <cellStyle name="Output 13 16" xfId="2121" xr:uid="{3028B0ED-A9E8-45AB-8DB8-EC97844A422B}"/>
    <cellStyle name="Output 13 17" xfId="2183" xr:uid="{D67108EE-A9CB-41A4-93A3-C0818E5E8133}"/>
    <cellStyle name="Output 13 18" xfId="2246" xr:uid="{9F6885AA-9649-47E5-AC3A-95E13B166314}"/>
    <cellStyle name="Output 13 19" xfId="2305" xr:uid="{1768EEC9-8109-4420-83E5-9B82A5BC2F05}"/>
    <cellStyle name="Output 13 2" xfId="1126" xr:uid="{A0C45C05-9D4F-42A8-9371-D93E1DAB1131}"/>
    <cellStyle name="Output 13 20" xfId="2366" xr:uid="{1A4CB7C2-7E3E-4A0D-B401-33A4725C1B62}"/>
    <cellStyle name="Output 13 21" xfId="2427" xr:uid="{DF0224EF-AC50-42C7-926E-F0BA770B92FC}"/>
    <cellStyle name="Output 13 22" xfId="2490" xr:uid="{C4A35946-1D8B-4C78-B146-3B254EFDE358}"/>
    <cellStyle name="Output 13 23" xfId="2547" xr:uid="{96709BF6-AF84-4729-BD27-7B2144AEADCC}"/>
    <cellStyle name="Output 13 24" xfId="2608" xr:uid="{959EBA91-4C4F-4B1E-89D9-2AA6E86ED924}"/>
    <cellStyle name="Output 13 25" xfId="2668" xr:uid="{1A735C44-1F53-493E-9323-4A7B6E3C0B8A}"/>
    <cellStyle name="Output 13 26" xfId="2715" xr:uid="{9F8A2B31-6FBF-408B-9C28-D1D4A730EE30}"/>
    <cellStyle name="Output 13 27" xfId="2767" xr:uid="{CCEBA500-95FA-4EBF-B9F7-B44C0A34156E}"/>
    <cellStyle name="Output 13 28" xfId="2815" xr:uid="{E2FA1AD7-45E7-441D-833C-8ABEF79502DD}"/>
    <cellStyle name="Output 13 29" xfId="2861" xr:uid="{F0DE5F6F-ACA1-49DC-AA95-D03AC865C29A}"/>
    <cellStyle name="Output 13 3" xfId="1202" xr:uid="{D99C5FFA-9F98-4079-9A0A-A49CF286A1E0}"/>
    <cellStyle name="Output 13 30" xfId="2907" xr:uid="{A2C92A8D-C6D4-4C67-BE66-DF2AF55487BA}"/>
    <cellStyle name="Output 13 31" xfId="2956" xr:uid="{52D73523-9B1D-4FB6-A51C-18272E754796}"/>
    <cellStyle name="Output 13 32" xfId="3002" xr:uid="{08925BC2-E263-4284-ACA9-C4294A2CDC26}"/>
    <cellStyle name="Output 13 4" xfId="1278" xr:uid="{96E9A37F-83AC-48AE-9179-80A679CA9A35}"/>
    <cellStyle name="Output 13 5" xfId="1354" xr:uid="{5B4D5390-2B8B-4311-A9F2-35EA90B55EEC}"/>
    <cellStyle name="Output 13 6" xfId="1430" xr:uid="{7A492191-9879-4CEF-B29B-4E651F5A5AEB}"/>
    <cellStyle name="Output 13 7" xfId="1505" xr:uid="{B5AD7B78-225E-41C1-BCBC-479465528C66}"/>
    <cellStyle name="Output 13 8" xfId="1581" xr:uid="{EA9B054E-C9D6-4953-9185-F94DDD834949}"/>
    <cellStyle name="Output 13 9" xfId="1656" xr:uid="{C134BCE6-4273-44B9-861E-20BCAC82D57A}"/>
    <cellStyle name="Output 14" xfId="614" xr:uid="{16642946-36C3-4E5E-9CF1-4B20F393EF69}"/>
    <cellStyle name="Output 14 10" xfId="1731" xr:uid="{C1C12B7C-36D7-46D2-A3E6-5A8D1657DBC0}"/>
    <cellStyle name="Output 14 11" xfId="1807" xr:uid="{62539E2C-44A8-48AE-ACBA-CAA6D4AF47D6}"/>
    <cellStyle name="Output 14 12" xfId="1871" xr:uid="{3959F41C-248C-462E-AD30-6BDFE3E050D8}"/>
    <cellStyle name="Output 14 13" xfId="1936" xr:uid="{32CEAA5E-FCE5-4DA9-B648-5A05EC7C26EE}"/>
    <cellStyle name="Output 14 14" xfId="1999" xr:uid="{1270F2E2-2EB7-498A-97B7-4E9A523715FB}"/>
    <cellStyle name="Output 14 15" xfId="2060" xr:uid="{AE583461-A95E-402D-BDFC-F7FA4F3E617F}"/>
    <cellStyle name="Output 14 16" xfId="2122" xr:uid="{066FD100-72AB-4930-83F9-4B3D93CE8A05}"/>
    <cellStyle name="Output 14 17" xfId="2184" xr:uid="{EA57EB8C-831A-4E2D-9BE1-77A88D23A3DE}"/>
    <cellStyle name="Output 14 18" xfId="2247" xr:uid="{2C8691E5-F9D5-4800-AC9E-545BFA47AE09}"/>
    <cellStyle name="Output 14 19" xfId="2306" xr:uid="{A2CA0C23-D1B8-4B02-BA3B-501C13E0984F}"/>
    <cellStyle name="Output 14 2" xfId="1127" xr:uid="{377F61C6-CEFA-4834-8EC6-531F87147A71}"/>
    <cellStyle name="Output 14 20" xfId="2367" xr:uid="{BA3D0217-8A5C-4FBE-935E-C293E1FAA98D}"/>
    <cellStyle name="Output 14 21" xfId="2428" xr:uid="{2AE011FB-E0BF-48A8-A486-FBDB4D7040C7}"/>
    <cellStyle name="Output 14 22" xfId="2491" xr:uid="{332784AE-5588-4F34-99DD-98700481EA05}"/>
    <cellStyle name="Output 14 23" xfId="2548" xr:uid="{15A13A24-0C4A-44D7-8567-DAB1561FD1B3}"/>
    <cellStyle name="Output 14 24" xfId="2609" xr:uid="{E2323713-BA39-4386-888B-39C422E9C8C7}"/>
    <cellStyle name="Output 14 25" xfId="2669" xr:uid="{C61A6BBB-4F00-4A07-8371-E3C082205AE3}"/>
    <cellStyle name="Output 14 26" xfId="2716" xr:uid="{62BEB98F-E3F7-4C36-BE0D-AA2F82AEE4AB}"/>
    <cellStyle name="Output 14 27" xfId="2768" xr:uid="{EFEB4085-92A2-47DA-AB9C-BFDE58AEB58A}"/>
    <cellStyle name="Output 14 28" xfId="2816" xr:uid="{81AD3D6E-F285-433B-90DA-5B6A74262E33}"/>
    <cellStyle name="Output 14 29" xfId="2862" xr:uid="{6FB42CD7-C504-41E2-A5C3-5567CE133D5D}"/>
    <cellStyle name="Output 14 3" xfId="1203" xr:uid="{48C5E776-45FA-44BE-A1F2-A80E0E5E2D7C}"/>
    <cellStyle name="Output 14 30" xfId="2908" xr:uid="{64EA6594-D886-4FD4-AB4D-D66CEBFEC3CB}"/>
    <cellStyle name="Output 14 31" xfId="2957" xr:uid="{981EE1C4-70BE-4E81-9DD3-0B29659D5F78}"/>
    <cellStyle name="Output 14 32" xfId="3003" xr:uid="{FA68D788-C882-4F16-B3A5-792C0A865A4D}"/>
    <cellStyle name="Output 14 4" xfId="1279" xr:uid="{6E685FCF-A789-41C0-99A9-FCCC488D49DF}"/>
    <cellStyle name="Output 14 5" xfId="1355" xr:uid="{3D821CD2-1118-449F-B5A4-DC1FD7C97D96}"/>
    <cellStyle name="Output 14 6" xfId="1431" xr:uid="{398BFA9E-AC52-499B-8E47-475161B6CDD1}"/>
    <cellStyle name="Output 14 7" xfId="1506" xr:uid="{E9B1C474-B83D-447B-B655-6A254DA278D1}"/>
    <cellStyle name="Output 14 8" xfId="1582" xr:uid="{311B5D46-197A-4DEC-8233-0F5679A12673}"/>
    <cellStyle name="Output 14 9" xfId="1657" xr:uid="{9AFA8D73-CB2B-4D48-BE57-D81D3D9A4117}"/>
    <cellStyle name="Output 15" xfId="615" xr:uid="{16936CCF-AE9B-4D76-B4B4-2E452354DECA}"/>
    <cellStyle name="Output 15 10" xfId="1732" xr:uid="{5C4F910B-4AD3-441F-894F-0950E5A7B91F}"/>
    <cellStyle name="Output 15 11" xfId="1808" xr:uid="{45F8B417-FAE9-4DBC-A053-6D7B95FACC3E}"/>
    <cellStyle name="Output 15 12" xfId="1872" xr:uid="{C6C375CE-636C-4FDE-9DB3-37A837B43E7C}"/>
    <cellStyle name="Output 15 13" xfId="1937" xr:uid="{8D93089D-F255-4B6B-AA9C-6592760AB5F0}"/>
    <cellStyle name="Output 15 14" xfId="2000" xr:uid="{3E2AE7D4-9CBC-4CF9-BC09-514798B75B58}"/>
    <cellStyle name="Output 15 15" xfId="2061" xr:uid="{755D6CC1-424B-4811-8364-5BD146F94EFD}"/>
    <cellStyle name="Output 15 16" xfId="2123" xr:uid="{BFD1B015-A508-4727-ABB2-D9D65FB3344D}"/>
    <cellStyle name="Output 15 17" xfId="2185" xr:uid="{94007BD4-DAD1-401C-81AB-0B1F6A43AF3C}"/>
    <cellStyle name="Output 15 18" xfId="2248" xr:uid="{AAF9EDED-A7C1-4015-8CF5-FB9F06A441F5}"/>
    <cellStyle name="Output 15 19" xfId="2307" xr:uid="{363873DE-C9C5-4CE6-8D3E-C01B0DC883E4}"/>
    <cellStyle name="Output 15 2" xfId="1128" xr:uid="{0295CEEF-35FF-45D0-AE50-470A0E1774C2}"/>
    <cellStyle name="Output 15 20" xfId="2368" xr:uid="{09171523-50CE-43FA-BF7C-DDCE2A682ADE}"/>
    <cellStyle name="Output 15 21" xfId="2429" xr:uid="{184E5D8F-AF5F-413D-AA22-CEFF6EB892DF}"/>
    <cellStyle name="Output 15 22" xfId="2492" xr:uid="{B8A23A8B-4C54-4718-B738-34F333CBC302}"/>
    <cellStyle name="Output 15 23" xfId="2549" xr:uid="{60ACDD12-7EFC-4451-B0AB-5565B6ADE35B}"/>
    <cellStyle name="Output 15 24" xfId="2610" xr:uid="{9D7B6E11-46EE-42C2-AE9F-18B2C8EB4F23}"/>
    <cellStyle name="Output 15 25" xfId="2670" xr:uid="{087AC4BA-B243-45EE-9E85-D18757D764D3}"/>
    <cellStyle name="Output 15 26" xfId="2717" xr:uid="{5B98E605-8302-4616-97B2-EE3BE633AF70}"/>
    <cellStyle name="Output 15 27" xfId="2769" xr:uid="{2EEA5968-CEA5-4698-9A6C-1AA9BB4DC05C}"/>
    <cellStyle name="Output 15 28" xfId="2817" xr:uid="{167FDC63-7781-4862-B298-855899DD09C0}"/>
    <cellStyle name="Output 15 29" xfId="2863" xr:uid="{16C4A1A1-8A5C-46EE-8C35-01B5CE8E4E85}"/>
    <cellStyle name="Output 15 3" xfId="1204" xr:uid="{1C3CB03C-C6DE-49F0-85CA-53801BE1C480}"/>
    <cellStyle name="Output 15 30" xfId="2909" xr:uid="{928F93F3-3460-4DA6-955A-BBBB8E7C8EB2}"/>
    <cellStyle name="Output 15 31" xfId="2958" xr:uid="{6721E778-3572-448E-95C4-955B0314AF0C}"/>
    <cellStyle name="Output 15 32" xfId="3004" xr:uid="{7DCD58B4-9A7B-4AB3-A4C4-9D0797EF6398}"/>
    <cellStyle name="Output 15 4" xfId="1280" xr:uid="{D0EE38BE-380C-4360-8207-1E0F77AF7E1D}"/>
    <cellStyle name="Output 15 5" xfId="1356" xr:uid="{4F9B5551-12A3-4B6A-A614-0ECB0B4AA0C8}"/>
    <cellStyle name="Output 15 6" xfId="1432" xr:uid="{D804804A-EB74-4334-800E-217E9AFD5CD2}"/>
    <cellStyle name="Output 15 7" xfId="1507" xr:uid="{50EFD191-04D1-4195-9877-6A6998061B86}"/>
    <cellStyle name="Output 15 8" xfId="1583" xr:uid="{6387F610-E294-4A1A-8BEF-82486A8299C6}"/>
    <cellStyle name="Output 15 9" xfId="1658" xr:uid="{C64CAE7D-8FA0-4ADC-9D3C-53E059091DCA}"/>
    <cellStyle name="Output 16" xfId="616" xr:uid="{AFCA3440-67D3-46FE-A331-880C89278F5D}"/>
    <cellStyle name="Output 16 10" xfId="1733" xr:uid="{AA7CB578-ABB9-433F-BD4E-69F1D34F76F4}"/>
    <cellStyle name="Output 16 11" xfId="1809" xr:uid="{D6CBC004-F83F-42EC-B66C-82CADF255A89}"/>
    <cellStyle name="Output 16 12" xfId="1873" xr:uid="{BFC8171F-BFC5-4C18-93F3-E53752415C70}"/>
    <cellStyle name="Output 16 13" xfId="1938" xr:uid="{3C67511D-326D-41DE-90BE-FA6D945D2389}"/>
    <cellStyle name="Output 16 14" xfId="2001" xr:uid="{7A536F00-AE29-4416-9D0D-05938F048CFF}"/>
    <cellStyle name="Output 16 15" xfId="2062" xr:uid="{3C6623F1-9E5B-4E29-92FF-549AD205A36A}"/>
    <cellStyle name="Output 16 16" xfId="2124" xr:uid="{5C7E23F0-F3E6-41F2-914C-8DBF82045EFD}"/>
    <cellStyle name="Output 16 17" xfId="2186" xr:uid="{13829E37-564A-4014-B3DF-1FFEEAF64C30}"/>
    <cellStyle name="Output 16 18" xfId="2249" xr:uid="{CC1924AE-EA18-484C-B67D-5D3090550B6F}"/>
    <cellStyle name="Output 16 19" xfId="2308" xr:uid="{D77BF1AF-54CD-473C-AA97-98BC09564BAC}"/>
    <cellStyle name="Output 16 2" xfId="1129" xr:uid="{5C62136D-B790-4C50-A8C3-7EB8B30EF4D9}"/>
    <cellStyle name="Output 16 20" xfId="2369" xr:uid="{AFCCBCE2-4A83-4E7B-89AF-0932C917871F}"/>
    <cellStyle name="Output 16 21" xfId="2430" xr:uid="{C9CDE724-2EAC-4B96-8369-428010660E53}"/>
    <cellStyle name="Output 16 22" xfId="2493" xr:uid="{F6062BC7-2684-4E94-A391-D572BD2862D8}"/>
    <cellStyle name="Output 16 23" xfId="2550" xr:uid="{4C48826E-6985-46C0-BBC1-40B78961BA47}"/>
    <cellStyle name="Output 16 24" xfId="2611" xr:uid="{AA139B4E-B61D-4D8F-94AD-3D406073E11B}"/>
    <cellStyle name="Output 16 25" xfId="2671" xr:uid="{B27AB2D1-62CB-43E3-AB5E-6F852D32DA8F}"/>
    <cellStyle name="Output 16 26" xfId="2718" xr:uid="{DB88AE37-4526-44CA-AB35-8383FED188A6}"/>
    <cellStyle name="Output 16 27" xfId="2770" xr:uid="{E143DD97-9B56-4499-AA7E-291AC63D038A}"/>
    <cellStyle name="Output 16 28" xfId="2818" xr:uid="{F0AA4E7F-74C5-4D0D-A365-00FA2271024D}"/>
    <cellStyle name="Output 16 29" xfId="2864" xr:uid="{57F63586-8CD4-4BA6-A0FC-CDC5675B23E2}"/>
    <cellStyle name="Output 16 3" xfId="1205" xr:uid="{982BAABB-79F5-449C-B099-BDBD5377BD29}"/>
    <cellStyle name="Output 16 30" xfId="2910" xr:uid="{958B3A47-682D-43B2-92F0-3EE0F60AAA39}"/>
    <cellStyle name="Output 16 31" xfId="2959" xr:uid="{8ACC6F62-0D85-453C-AE31-4A543A6FA3F2}"/>
    <cellStyle name="Output 16 32" xfId="3005" xr:uid="{0CD6F162-3F3D-4043-8A62-F78BC73BC203}"/>
    <cellStyle name="Output 16 4" xfId="1281" xr:uid="{84B6121C-B71B-455F-BE94-D9D8319F24BE}"/>
    <cellStyle name="Output 16 5" xfId="1357" xr:uid="{1CAFBE8B-341D-408B-A716-DDE541A394CF}"/>
    <cellStyle name="Output 16 6" xfId="1433" xr:uid="{26C8F7BD-E150-4E8B-A360-0D4B1BFCC35F}"/>
    <cellStyle name="Output 16 7" xfId="1508" xr:uid="{8A3DFF35-4CE7-46A9-B277-6C3835DD6A66}"/>
    <cellStyle name="Output 16 8" xfId="1584" xr:uid="{88CD020B-714A-4F6D-9E27-410A816DDB53}"/>
    <cellStyle name="Output 16 9" xfId="1659" xr:uid="{556C57E8-41AD-468B-987F-5895C38615F0}"/>
    <cellStyle name="Output 2" xfId="617" xr:uid="{91289EC8-500E-40E8-8860-7315AEB78E42}"/>
    <cellStyle name="Output 2 10" xfId="1734" xr:uid="{A7537832-9614-4966-B9E9-2D9F39B7809F}"/>
    <cellStyle name="Output 2 11" xfId="1810" xr:uid="{010C1003-13CE-42E5-A01A-CAA3F3429AA2}"/>
    <cellStyle name="Output 2 12" xfId="1874" xr:uid="{15B2243E-2795-4AC4-9847-A85877654B02}"/>
    <cellStyle name="Output 2 13" xfId="1939" xr:uid="{74FC2CE8-3903-4092-B1D4-2E42B33442D5}"/>
    <cellStyle name="Output 2 14" xfId="2002" xr:uid="{CF572135-4821-47AA-B293-45BAC808020D}"/>
    <cellStyle name="Output 2 15" xfId="2063" xr:uid="{9C6DDF49-61B7-4A56-B63D-378E57E7D3B9}"/>
    <cellStyle name="Output 2 16" xfId="2125" xr:uid="{168CD551-051E-4C92-B9FC-530391CDB375}"/>
    <cellStyle name="Output 2 17" xfId="2187" xr:uid="{D982285C-1087-4440-BC29-D91E0B222FBC}"/>
    <cellStyle name="Output 2 18" xfId="2250" xr:uid="{20D420E5-B7F4-4B30-9040-3C23BED6C9F4}"/>
    <cellStyle name="Output 2 19" xfId="2309" xr:uid="{CE8D465B-883A-4334-B365-15A8ECEAF2F2}"/>
    <cellStyle name="Output 2 2" xfId="1130" xr:uid="{39CE722D-8F8C-4A57-8016-38C8A3D4CE35}"/>
    <cellStyle name="Output 2 20" xfId="2370" xr:uid="{EED3EEC0-92DC-4F62-A5E5-D31222148585}"/>
    <cellStyle name="Output 2 21" xfId="2431" xr:uid="{34578B9A-B3B8-44AF-A249-B518CB826FDD}"/>
    <cellStyle name="Output 2 22" xfId="2494" xr:uid="{7B942138-3D7A-4163-91F2-4CCFD852893D}"/>
    <cellStyle name="Output 2 23" xfId="2551" xr:uid="{5005A2BE-8E20-45B1-A9C7-A0477CC1913C}"/>
    <cellStyle name="Output 2 24" xfId="2612" xr:uid="{BAE39FCB-9D21-4C5E-8022-A119FD3E9F6B}"/>
    <cellStyle name="Output 2 25" xfId="2672" xr:uid="{9CF5BCF0-4528-49A3-B89A-A538E5C1F072}"/>
    <cellStyle name="Output 2 26" xfId="2719" xr:uid="{8BCF20F4-9550-43BC-9D1A-55C04EF9F4EA}"/>
    <cellStyle name="Output 2 27" xfId="2771" xr:uid="{8D37175D-2B55-4BDB-82AE-944C9FE24697}"/>
    <cellStyle name="Output 2 28" xfId="2819" xr:uid="{8990A6BE-2B3C-458A-99AF-109A1F631E48}"/>
    <cellStyle name="Output 2 29" xfId="2865" xr:uid="{CB4E6AF0-B6C9-4917-9BDD-985E66A531C5}"/>
    <cellStyle name="Output 2 3" xfId="1206" xr:uid="{DE61BABC-AF92-4CE9-A23F-7B9C97573F2C}"/>
    <cellStyle name="Output 2 30" xfId="2911" xr:uid="{362C4D8E-5208-48C5-B81F-7C1EB47896DF}"/>
    <cellStyle name="Output 2 31" xfId="2960" xr:uid="{B539550F-DBE9-48CC-8CCC-894EA133D770}"/>
    <cellStyle name="Output 2 32" xfId="3006" xr:uid="{70B3CBA3-5129-4015-938A-1AA77A74036B}"/>
    <cellStyle name="Output 2 4" xfId="1282" xr:uid="{F72E5E1A-F817-421C-BB68-F7E5CD257003}"/>
    <cellStyle name="Output 2 5" xfId="1358" xr:uid="{B3636FB7-B571-46D8-A3B9-6145D552D04D}"/>
    <cellStyle name="Output 2 6" xfId="1434" xr:uid="{355E6E24-876F-4189-9284-D2F49754B81B}"/>
    <cellStyle name="Output 2 7" xfId="1509" xr:uid="{F92F11C1-A7F4-427A-B2A5-471D58B6B99B}"/>
    <cellStyle name="Output 2 8" xfId="1585" xr:uid="{6522E53C-8E43-4033-945C-27CC3FDDEFE6}"/>
    <cellStyle name="Output 2 9" xfId="1660" xr:uid="{82993E6C-1328-47A8-ACA4-F3F989636351}"/>
    <cellStyle name="Output 3" xfId="618" xr:uid="{6F9A4D29-75BD-4E09-A06B-019397347E4F}"/>
    <cellStyle name="Output 3 10" xfId="1735" xr:uid="{1B9351C6-1932-4611-97A4-EBE147B612AE}"/>
    <cellStyle name="Output 3 11" xfId="1811" xr:uid="{D5E20462-07D6-427C-AF47-5E578178F5A2}"/>
    <cellStyle name="Output 3 12" xfId="1875" xr:uid="{C888EE1C-FA3E-4FC9-8EF3-FD79C08E83EB}"/>
    <cellStyle name="Output 3 13" xfId="1940" xr:uid="{E85AC30E-AB17-48EF-A4A9-EA7F6E0FBE49}"/>
    <cellStyle name="Output 3 14" xfId="2003" xr:uid="{F7C969F5-83C2-4362-9F5B-04BDEDD04A76}"/>
    <cellStyle name="Output 3 15" xfId="2064" xr:uid="{69169CC7-2F96-476E-AA40-847A1090863E}"/>
    <cellStyle name="Output 3 16" xfId="2126" xr:uid="{BB585421-BE9F-42F3-B6D6-82EB3A09D393}"/>
    <cellStyle name="Output 3 17" xfId="2188" xr:uid="{F39970D8-A140-421C-BB6A-451DEF2FEC7F}"/>
    <cellStyle name="Output 3 18" xfId="2251" xr:uid="{3DDDB5C5-C438-4C99-8DC5-43C3E13FED8D}"/>
    <cellStyle name="Output 3 19" xfId="2310" xr:uid="{32D0F740-6944-44FC-8F40-1CD6EF9ADDA1}"/>
    <cellStyle name="Output 3 2" xfId="1131" xr:uid="{2C554579-5428-4813-AA56-AEB42E7E5190}"/>
    <cellStyle name="Output 3 20" xfId="2371" xr:uid="{E7CE7BB7-83CD-467E-9BF3-8AD26706F2AD}"/>
    <cellStyle name="Output 3 21" xfId="2432" xr:uid="{495AEFF3-1EC8-44AF-9450-5C42F16DA479}"/>
    <cellStyle name="Output 3 22" xfId="2495" xr:uid="{4024DD28-2EDA-4854-9F6F-669C805F7A85}"/>
    <cellStyle name="Output 3 23" xfId="2552" xr:uid="{4CE9C1B7-3373-4DE3-82AB-FE636B641E73}"/>
    <cellStyle name="Output 3 24" xfId="2613" xr:uid="{888E7A52-3023-4146-901E-12181304C421}"/>
    <cellStyle name="Output 3 25" xfId="2673" xr:uid="{28FB2F76-E7C8-4913-B531-ED5D6C3D3908}"/>
    <cellStyle name="Output 3 26" xfId="2720" xr:uid="{50427EBE-AAE9-442C-BB5D-2735F3A22A11}"/>
    <cellStyle name="Output 3 27" xfId="2772" xr:uid="{795988D9-CBFB-4AF4-B335-94779D8CE522}"/>
    <cellStyle name="Output 3 28" xfId="2820" xr:uid="{87C4C068-E103-463F-BD73-EF8BFB716F9F}"/>
    <cellStyle name="Output 3 29" xfId="2866" xr:uid="{F580E45A-BCD1-4E24-A46E-B523396B0D8C}"/>
    <cellStyle name="Output 3 3" xfId="1207" xr:uid="{24AC126D-D3F4-4D83-8CA7-04C6AA345ED0}"/>
    <cellStyle name="Output 3 30" xfId="2912" xr:uid="{B8024E79-2ED2-441E-81A8-7418818067D0}"/>
    <cellStyle name="Output 3 31" xfId="2961" xr:uid="{C80DD190-9EC1-4400-887A-9A5A810484AF}"/>
    <cellStyle name="Output 3 32" xfId="3007" xr:uid="{A09E33B9-60C9-457F-906D-8275144CDCE6}"/>
    <cellStyle name="Output 3 4" xfId="1283" xr:uid="{7DC11559-AD59-469C-B175-7722F5D458AD}"/>
    <cellStyle name="Output 3 5" xfId="1359" xr:uid="{A52B1730-2A4E-4CB6-AEDC-FEE5E18879E0}"/>
    <cellStyle name="Output 3 6" xfId="1435" xr:uid="{F26DB455-83CA-48A8-8020-C4AEC2D68D3D}"/>
    <cellStyle name="Output 3 7" xfId="1510" xr:uid="{A4EFFA61-DE96-4076-879C-DEF865EAB753}"/>
    <cellStyle name="Output 3 8" xfId="1586" xr:uid="{5F129503-7944-4163-B5CF-1FAB8C439A1A}"/>
    <cellStyle name="Output 3 9" xfId="1661" xr:uid="{9337A24E-4D70-4341-ACC7-06D219716816}"/>
    <cellStyle name="Output 4" xfId="619" xr:uid="{F9874E42-F306-4503-99F5-A51FA7EB4DB4}"/>
    <cellStyle name="Output 4 10" xfId="1736" xr:uid="{ED9D6AA3-8623-470E-A851-46ACDC31096D}"/>
    <cellStyle name="Output 4 11" xfId="1812" xr:uid="{E6059B8B-EFFF-486D-8D22-24D1ED1A4095}"/>
    <cellStyle name="Output 4 12" xfId="1876" xr:uid="{1439F995-71B4-4F1B-BF08-FBF2D40584BC}"/>
    <cellStyle name="Output 4 13" xfId="1941" xr:uid="{0F5E2D75-7310-44D6-BEA3-5324AB83A2DD}"/>
    <cellStyle name="Output 4 14" xfId="2004" xr:uid="{B3AFB397-D459-47A5-88EF-E13E4AC4A2DB}"/>
    <cellStyle name="Output 4 15" xfId="2065" xr:uid="{8702B233-9C26-4760-A201-7D0469FCBD52}"/>
    <cellStyle name="Output 4 16" xfId="2127" xr:uid="{BD32C69A-6DF1-4DF2-B949-770C5A473839}"/>
    <cellStyle name="Output 4 17" xfId="2189" xr:uid="{FA5C9790-1F76-414E-979D-18377B0BFF7B}"/>
    <cellStyle name="Output 4 18" xfId="2252" xr:uid="{576FD5F5-DF97-4218-977B-C08D25B0A617}"/>
    <cellStyle name="Output 4 19" xfId="2311" xr:uid="{0FBF2125-D86B-4C45-A3FA-9FC3C1238189}"/>
    <cellStyle name="Output 4 2" xfId="1132" xr:uid="{BEE6EB6A-EF1A-41FF-87CE-98D652A17931}"/>
    <cellStyle name="Output 4 20" xfId="2372" xr:uid="{9D5D642A-ABA4-49AF-A734-CCCEE77908A6}"/>
    <cellStyle name="Output 4 21" xfId="2433" xr:uid="{5B23B647-D377-454F-B886-95B1F52AE316}"/>
    <cellStyle name="Output 4 22" xfId="2496" xr:uid="{5264926B-EAF5-43F5-AAF8-0CB92391AEBE}"/>
    <cellStyle name="Output 4 23" xfId="2553" xr:uid="{3FEE8890-5374-4D8C-A3B8-0C89CF7FE94D}"/>
    <cellStyle name="Output 4 24" xfId="2614" xr:uid="{A761BD12-E3C1-4582-8951-D5CA70A6E36C}"/>
    <cellStyle name="Output 4 25" xfId="2674" xr:uid="{38E8A93C-8474-4338-943A-D959B088E9ED}"/>
    <cellStyle name="Output 4 26" xfId="2721" xr:uid="{57129AA4-FBCE-42A5-9316-FAAF2D77F181}"/>
    <cellStyle name="Output 4 27" xfId="2773" xr:uid="{287FE7DD-A30D-4E28-B71B-E89C74D564EC}"/>
    <cellStyle name="Output 4 28" xfId="2821" xr:uid="{2C5CDD71-8383-49D6-A4A5-A1CA9E10732B}"/>
    <cellStyle name="Output 4 29" xfId="2867" xr:uid="{57385FB2-FA39-4333-88F6-7017D045DB60}"/>
    <cellStyle name="Output 4 3" xfId="1208" xr:uid="{F7E97549-2636-42E4-9C16-8A333E1B4652}"/>
    <cellStyle name="Output 4 30" xfId="2913" xr:uid="{CEEDD135-5074-4FB8-B482-DC9A8B85C064}"/>
    <cellStyle name="Output 4 31" xfId="2962" xr:uid="{A58DDED0-CEC9-4411-AE98-5CFA996056BF}"/>
    <cellStyle name="Output 4 32" xfId="3008" xr:uid="{BFA3ABAF-5366-40D3-A629-7DE5E4B34B5B}"/>
    <cellStyle name="Output 4 4" xfId="1284" xr:uid="{15DE46EE-4F45-4340-BD89-7350174ADF09}"/>
    <cellStyle name="Output 4 5" xfId="1360" xr:uid="{8AD8323B-A2B3-4407-857C-CFFADBC8E5BC}"/>
    <cellStyle name="Output 4 6" xfId="1436" xr:uid="{F644352E-06DD-46F9-8036-81CAC6D5DD30}"/>
    <cellStyle name="Output 4 7" xfId="1511" xr:uid="{0D6ECFF1-DD6F-433C-B344-B8C4BEE9E1BF}"/>
    <cellStyle name="Output 4 8" xfId="1587" xr:uid="{F47F9D51-EFBE-42F1-982E-C6B96A051A45}"/>
    <cellStyle name="Output 4 9" xfId="1662" xr:uid="{032C44B6-83E3-424B-82EB-1461282DD542}"/>
    <cellStyle name="Output 5" xfId="620" xr:uid="{2A6284D9-D6C3-42C1-8A0B-692FC7740781}"/>
    <cellStyle name="Output 5 10" xfId="1737" xr:uid="{367E2B8F-D632-4E74-9D53-06283A39A678}"/>
    <cellStyle name="Output 5 11" xfId="1813" xr:uid="{0595CF77-8DFA-4E8A-ABDE-EB5C87B6EC5D}"/>
    <cellStyle name="Output 5 12" xfId="1877" xr:uid="{4CAF5661-8D06-4C77-BB7A-49EFEB18229E}"/>
    <cellStyle name="Output 5 13" xfId="1942" xr:uid="{00CBAEA4-6D8E-4334-A35F-4EBEA31A8D95}"/>
    <cellStyle name="Output 5 14" xfId="2005" xr:uid="{30F03857-4F3E-4CC2-A98D-9E4EC49AE9FD}"/>
    <cellStyle name="Output 5 15" xfId="2066" xr:uid="{C08E0FF7-B610-4C79-9808-7FCD6ABE7F90}"/>
    <cellStyle name="Output 5 16" xfId="2128" xr:uid="{C8123506-8F82-4E75-AA3F-4831CB7514AD}"/>
    <cellStyle name="Output 5 17" xfId="2190" xr:uid="{025F7D29-29FD-4554-A6CE-95AB02A7CFB3}"/>
    <cellStyle name="Output 5 18" xfId="2253" xr:uid="{1AFE8EAE-AB30-4A58-892A-471A9C17AD66}"/>
    <cellStyle name="Output 5 19" xfId="2312" xr:uid="{7241D5A9-56DE-405E-AAF6-0C55C2A170FE}"/>
    <cellStyle name="Output 5 2" xfId="1133" xr:uid="{516AD027-5608-4962-8F2C-ECEFC907AFDB}"/>
    <cellStyle name="Output 5 20" xfId="2373" xr:uid="{4E311B7C-558B-45F1-9384-3526A3FBAAE5}"/>
    <cellStyle name="Output 5 21" xfId="2434" xr:uid="{54613F40-BA47-47CA-A201-3A45A19C89A2}"/>
    <cellStyle name="Output 5 22" xfId="2497" xr:uid="{AF80F46E-1415-4807-86F6-F96F16D541A8}"/>
    <cellStyle name="Output 5 23" xfId="2554" xr:uid="{F4067371-7197-4CE8-A3B3-1A968B049729}"/>
    <cellStyle name="Output 5 24" xfId="2615" xr:uid="{D5D9392D-076E-4448-99AF-471955F7425A}"/>
    <cellStyle name="Output 5 25" xfId="2675" xr:uid="{C6562E51-A6B4-4E6E-91E4-26918FBCD626}"/>
    <cellStyle name="Output 5 26" xfId="2722" xr:uid="{463BFDE0-C34D-4D09-9074-2E8408057E9E}"/>
    <cellStyle name="Output 5 27" xfId="2774" xr:uid="{79DF44E6-6811-41C9-B9B9-24B934E931A4}"/>
    <cellStyle name="Output 5 28" xfId="2822" xr:uid="{DBFFE650-3A84-43A9-B3E6-BAC816B9525E}"/>
    <cellStyle name="Output 5 29" xfId="2868" xr:uid="{7DB0DFE9-1F59-47A3-A0B6-33B634D4E80E}"/>
    <cellStyle name="Output 5 3" xfId="1209" xr:uid="{2CAE0C8C-6E23-4DEB-8531-1EFEBEFB988E}"/>
    <cellStyle name="Output 5 30" xfId="2914" xr:uid="{FFCFA8CC-36DA-47F4-888C-854E110EF2B3}"/>
    <cellStyle name="Output 5 31" xfId="2963" xr:uid="{3331C8EE-B50D-4B83-87A8-16C7E882D1FA}"/>
    <cellStyle name="Output 5 32" xfId="3009" xr:uid="{F8E176A1-741C-43A0-98D8-A18A1BED6B6A}"/>
    <cellStyle name="Output 5 4" xfId="1285" xr:uid="{2DFB52FF-C1F0-4E64-A85E-F68B8112B535}"/>
    <cellStyle name="Output 5 5" xfId="1361" xr:uid="{05C18B7A-8EC6-45D6-ACA6-E1BD37C8C8A8}"/>
    <cellStyle name="Output 5 6" xfId="1437" xr:uid="{068B2CD5-DFDB-41B5-9B94-23C44E293393}"/>
    <cellStyle name="Output 5 7" xfId="1512" xr:uid="{E85A9850-B6CA-444F-9388-BDDCB3390AC9}"/>
    <cellStyle name="Output 5 8" xfId="1588" xr:uid="{EDF42826-A716-4A36-B841-A5BB816F8BD3}"/>
    <cellStyle name="Output 5 9" xfId="1663" xr:uid="{9151E366-0E50-4044-ACA0-8596305A740A}"/>
    <cellStyle name="Output 6" xfId="621" xr:uid="{C1683CF7-0795-43C3-8673-E7F6932E2929}"/>
    <cellStyle name="Output 6 10" xfId="1738" xr:uid="{23A0E433-9133-47BF-8981-191C9A22D41F}"/>
    <cellStyle name="Output 6 11" xfId="1814" xr:uid="{FE4C811F-E545-4479-B3C3-612DE2865D03}"/>
    <cellStyle name="Output 6 12" xfId="1878" xr:uid="{A8BB493F-B259-4A43-A9D7-2995A5F2B3E6}"/>
    <cellStyle name="Output 6 13" xfId="1943" xr:uid="{B1E183A8-8DF2-46AA-B3A5-6846D9624F6B}"/>
    <cellStyle name="Output 6 14" xfId="2006" xr:uid="{8CD05337-302C-4528-98C5-8C692BBBA5DE}"/>
    <cellStyle name="Output 6 15" xfId="2067" xr:uid="{3C19DA4F-25BC-40AD-8AFA-D0DD2840621A}"/>
    <cellStyle name="Output 6 16" xfId="2129" xr:uid="{FF61150C-2357-4DFF-B66E-8FB353A971E7}"/>
    <cellStyle name="Output 6 17" xfId="2191" xr:uid="{81AD4D38-20C6-4CB5-9049-43F7A458E52A}"/>
    <cellStyle name="Output 6 18" xfId="2254" xr:uid="{5B8EEA4B-5137-41BA-8EDB-CA5FE0555BA8}"/>
    <cellStyle name="Output 6 19" xfId="2313" xr:uid="{B3D403B0-F87D-46EE-A65D-0F4785C70376}"/>
    <cellStyle name="Output 6 2" xfId="1134" xr:uid="{C44E934C-F0A2-41E3-95B0-EC652EA7DF46}"/>
    <cellStyle name="Output 6 20" xfId="2374" xr:uid="{F6215243-BBE5-48F5-B492-8F3ECECFAF35}"/>
    <cellStyle name="Output 6 21" xfId="2435" xr:uid="{9901B09E-4FEA-4893-BFAC-3E5AED269752}"/>
    <cellStyle name="Output 6 22" xfId="2498" xr:uid="{56BE7577-B01A-48B5-AA1A-E13D19410AB5}"/>
    <cellStyle name="Output 6 23" xfId="2555" xr:uid="{55A90FA3-9675-4F99-8684-A0CA0DF56751}"/>
    <cellStyle name="Output 6 24" xfId="2616" xr:uid="{D0BB8AB5-F8AE-4629-8385-6B2F03C2A905}"/>
    <cellStyle name="Output 6 25" xfId="2676" xr:uid="{46539C22-BFD4-4661-B042-071DB222CE98}"/>
    <cellStyle name="Output 6 26" xfId="2723" xr:uid="{58681A21-4016-4CE8-9680-460C9F925041}"/>
    <cellStyle name="Output 6 27" xfId="2775" xr:uid="{5334B8D1-DF22-4A00-96CC-3DD828E4497B}"/>
    <cellStyle name="Output 6 28" xfId="2823" xr:uid="{94431AEA-64BA-42DA-8D2F-7786DE31192E}"/>
    <cellStyle name="Output 6 29" xfId="2869" xr:uid="{0FB6C263-6F62-4A7C-9921-AEB75EBA0B78}"/>
    <cellStyle name="Output 6 3" xfId="1210" xr:uid="{1220B7F6-DFC9-4BEE-AB5F-61709E388B2D}"/>
    <cellStyle name="Output 6 30" xfId="2915" xr:uid="{EB1F69EF-303F-406E-BCB4-51E4038D488B}"/>
    <cellStyle name="Output 6 31" xfId="2964" xr:uid="{B4B41321-3F90-40E0-B202-E5BF5686B561}"/>
    <cellStyle name="Output 6 32" xfId="3010" xr:uid="{A9B576F2-1E67-43A5-A008-97641E389980}"/>
    <cellStyle name="Output 6 4" xfId="1286" xr:uid="{118C6BD1-A84F-4E1C-8934-8B06EA40D0A7}"/>
    <cellStyle name="Output 6 5" xfId="1362" xr:uid="{362BCB05-3350-4CFC-8EA7-1CF624529632}"/>
    <cellStyle name="Output 6 6" xfId="1438" xr:uid="{47229749-70EB-4285-83DD-5D06717DA88D}"/>
    <cellStyle name="Output 6 7" xfId="1513" xr:uid="{1845A8DE-EBE7-48C5-A007-BBBA49A259A7}"/>
    <cellStyle name="Output 6 8" xfId="1589" xr:uid="{D879FDEC-06CC-4BCF-ABF6-5F39C0F2C15E}"/>
    <cellStyle name="Output 6 9" xfId="1664" xr:uid="{D6C33177-7576-49E8-923E-649E76D225B1}"/>
    <cellStyle name="Output 7" xfId="622" xr:uid="{CB4FB1EE-F0DB-4D5D-A0E8-E73A41E12EC8}"/>
    <cellStyle name="Output 7 10" xfId="1739" xr:uid="{4D68259B-9D68-4CA9-80E1-81F9839990CD}"/>
    <cellStyle name="Output 7 11" xfId="1815" xr:uid="{99F2363D-C9E5-462E-BF9D-6E5914E25A79}"/>
    <cellStyle name="Output 7 12" xfId="1879" xr:uid="{415D524B-80C5-4DE1-8B67-E631BA0FC1AE}"/>
    <cellStyle name="Output 7 13" xfId="1944" xr:uid="{40FE3FE4-14A3-41E7-95F3-98A78099A64B}"/>
    <cellStyle name="Output 7 14" xfId="2007" xr:uid="{2480F865-A9CA-47F0-9850-BDF178730F71}"/>
    <cellStyle name="Output 7 15" xfId="2068" xr:uid="{1EB6FF24-3313-4628-BBA6-69975BD25722}"/>
    <cellStyle name="Output 7 16" xfId="2130" xr:uid="{4D8A5AB5-3338-4059-A856-0D27BE430A4F}"/>
    <cellStyle name="Output 7 17" xfId="2192" xr:uid="{F860F554-33B9-4E07-A040-1E277D47C148}"/>
    <cellStyle name="Output 7 18" xfId="2255" xr:uid="{64EBA79C-51A6-4DC7-8912-091057425488}"/>
    <cellStyle name="Output 7 19" xfId="2314" xr:uid="{C9521DA2-F006-47DE-8935-33AD5D6732DA}"/>
    <cellStyle name="Output 7 2" xfId="1135" xr:uid="{A4DC6A36-628A-4E7E-983B-CF6743153FD5}"/>
    <cellStyle name="Output 7 20" xfId="2375" xr:uid="{87BE8499-B7CE-4868-AE65-3E393891FBCC}"/>
    <cellStyle name="Output 7 21" xfId="2436" xr:uid="{5E491FB4-48D5-473F-8E9A-AF99F6E747F6}"/>
    <cellStyle name="Output 7 22" xfId="2499" xr:uid="{008D858C-DE4D-4DDC-B4A2-1F67B2EE6CDA}"/>
    <cellStyle name="Output 7 23" xfId="2556" xr:uid="{1D6A6282-2672-49FD-9A71-20A18558AE85}"/>
    <cellStyle name="Output 7 24" xfId="2617" xr:uid="{1DDE3795-B3C7-4FF2-A8EC-385B7B8A32B9}"/>
    <cellStyle name="Output 7 25" xfId="2677" xr:uid="{CE7792CA-D383-40BA-A6F3-DC71D437BA19}"/>
    <cellStyle name="Output 7 26" xfId="2724" xr:uid="{9E401298-8D87-43B2-8AFB-A1EBDD9BFFB4}"/>
    <cellStyle name="Output 7 27" xfId="2776" xr:uid="{24944B2D-25DC-4962-B163-790C3C772AD0}"/>
    <cellStyle name="Output 7 28" xfId="2824" xr:uid="{76187453-4F32-4B33-B10D-2E7601DE8F96}"/>
    <cellStyle name="Output 7 29" xfId="2870" xr:uid="{2530480B-8F9F-42DB-8CAD-B771EC29E4DA}"/>
    <cellStyle name="Output 7 3" xfId="1211" xr:uid="{665AF40B-DF7D-407A-B5EB-6FE7E012DCD6}"/>
    <cellStyle name="Output 7 30" xfId="2916" xr:uid="{DF2F4223-E7EC-4945-9601-6B77B652C574}"/>
    <cellStyle name="Output 7 31" xfId="2965" xr:uid="{8F37683C-3B06-47BB-96DA-F11BF433FA53}"/>
    <cellStyle name="Output 7 32" xfId="3011" xr:uid="{EFA00E33-E712-4709-9E8B-470A86871F8B}"/>
    <cellStyle name="Output 7 4" xfId="1287" xr:uid="{5AB147DF-D887-46EA-9F21-D2DBE246FBA9}"/>
    <cellStyle name="Output 7 5" xfId="1363" xr:uid="{C7B167BD-8FE1-4FE1-BD9C-D57A58B3619F}"/>
    <cellStyle name="Output 7 6" xfId="1439" xr:uid="{FB697E66-D130-495F-A4CF-D25C1459A16A}"/>
    <cellStyle name="Output 7 7" xfId="1514" xr:uid="{48A1CBFB-DDC5-4548-98E3-EE2D7A01A983}"/>
    <cellStyle name="Output 7 8" xfId="1590" xr:uid="{F9F493F6-7CAB-407B-8588-731D26DCCE01}"/>
    <cellStyle name="Output 7 9" xfId="1665" xr:uid="{17EA76EC-D5E2-4DC6-9423-83E81437188C}"/>
    <cellStyle name="Output 8" xfId="623" xr:uid="{AD7770CB-A52A-4B80-8AA1-6CB6EFBB8DD3}"/>
    <cellStyle name="Output 8 10" xfId="1740" xr:uid="{5B7B4BBC-D173-4F7F-8821-0E27BF042B5C}"/>
    <cellStyle name="Output 8 11" xfId="1816" xr:uid="{25299BFB-037D-48B8-B528-20908FE74FC1}"/>
    <cellStyle name="Output 8 12" xfId="1880" xr:uid="{694B20FA-FE33-497D-AAE6-E009FAB594CD}"/>
    <cellStyle name="Output 8 13" xfId="1945" xr:uid="{061905E4-7DBA-435D-A34B-C680F93891AA}"/>
    <cellStyle name="Output 8 14" xfId="2008" xr:uid="{19DDF1E0-E609-4973-9B2E-C8A88CC59344}"/>
    <cellStyle name="Output 8 15" xfId="2069" xr:uid="{D2FD65AA-5AF6-437A-BFEE-F5C79165CFFC}"/>
    <cellStyle name="Output 8 16" xfId="2131" xr:uid="{B4E12CF0-B110-48A0-8076-57DD5388E339}"/>
    <cellStyle name="Output 8 17" xfId="2193" xr:uid="{37C490D7-F7CA-4366-AAE8-F0E4253D6C24}"/>
    <cellStyle name="Output 8 18" xfId="2256" xr:uid="{A790FB5D-813A-4F91-AFC4-E032C5B37802}"/>
    <cellStyle name="Output 8 19" xfId="2315" xr:uid="{50645F19-C609-42FC-9760-2A713385D4BA}"/>
    <cellStyle name="Output 8 2" xfId="1136" xr:uid="{1C916EB4-F760-4699-8917-D80BAE36800A}"/>
    <cellStyle name="Output 8 20" xfId="2376" xr:uid="{8DD3E8F2-4E4C-4C54-828E-EE8AF39D9EDF}"/>
    <cellStyle name="Output 8 21" xfId="2437" xr:uid="{BB82567C-ADA1-4ECC-912A-AF340C12048C}"/>
    <cellStyle name="Output 8 22" xfId="2500" xr:uid="{1869B6F2-D049-43E7-8C50-13E07E8A12EC}"/>
    <cellStyle name="Output 8 23" xfId="2557" xr:uid="{A08B9F52-EB72-4F38-B58C-3336390E56B2}"/>
    <cellStyle name="Output 8 24" xfId="2618" xr:uid="{9F5632E8-A639-4405-97EE-9706D0ABE234}"/>
    <cellStyle name="Output 8 25" xfId="2678" xr:uid="{413390BC-8E8E-4B30-9FFC-C1845AA9D879}"/>
    <cellStyle name="Output 8 26" xfId="2725" xr:uid="{86DB94A1-7F5A-4272-A4B0-781A3B5C054E}"/>
    <cellStyle name="Output 8 27" xfId="2777" xr:uid="{703E9D3E-37E5-42B1-91A5-A019DC3EE46B}"/>
    <cellStyle name="Output 8 28" xfId="2825" xr:uid="{50FB28D0-5F8E-45EF-81F9-FF57E2DB2184}"/>
    <cellStyle name="Output 8 29" xfId="2871" xr:uid="{9DE661A3-BA24-4D53-AA87-8F2381025A49}"/>
    <cellStyle name="Output 8 3" xfId="1212" xr:uid="{40C82EF2-F75C-4D0C-9900-4FC1A948F2D3}"/>
    <cellStyle name="Output 8 30" xfId="2917" xr:uid="{1EF3E233-A57C-43C7-A766-B39B8247A424}"/>
    <cellStyle name="Output 8 31" xfId="2966" xr:uid="{397CFC4D-1C9A-4FF3-932D-ACD453B2424D}"/>
    <cellStyle name="Output 8 32" xfId="3012" xr:uid="{717C3DB6-9FA2-4EC6-97DD-19CB9143BAFC}"/>
    <cellStyle name="Output 8 4" xfId="1288" xr:uid="{CF674533-7552-4920-ADCD-E12123CBB8A1}"/>
    <cellStyle name="Output 8 5" xfId="1364" xr:uid="{BA5EF44E-12F2-4835-8F05-236B11039013}"/>
    <cellStyle name="Output 8 6" xfId="1440" xr:uid="{F9BD9E72-5090-4427-A881-D4B417C99B82}"/>
    <cellStyle name="Output 8 7" xfId="1515" xr:uid="{8252A8A8-DBB4-48C6-A624-0D3280094B7D}"/>
    <cellStyle name="Output 8 8" xfId="1591" xr:uid="{63815C57-2B73-4BFE-A2B6-A27C0F1469D6}"/>
    <cellStyle name="Output 8 9" xfId="1666" xr:uid="{2C6F6E4F-52A0-42C8-8F58-6928BCB6888F}"/>
    <cellStyle name="Output 9" xfId="624" xr:uid="{423CD4AD-853E-45A6-BE54-89CA9A9B013B}"/>
    <cellStyle name="Output 9 10" xfId="1741" xr:uid="{695ADC16-2B96-4F7D-A17C-2C13FC333A2D}"/>
    <cellStyle name="Output 9 11" xfId="1817" xr:uid="{AA2157CB-2AEE-43A0-AA05-11C9AAFB53C9}"/>
    <cellStyle name="Output 9 12" xfId="1881" xr:uid="{9F5FE632-96C8-4AC8-9FAA-1E104308E508}"/>
    <cellStyle name="Output 9 13" xfId="1946" xr:uid="{0EE65545-3197-43DA-8215-AD2FBF5D25DE}"/>
    <cellStyle name="Output 9 14" xfId="2009" xr:uid="{7B4BE7FD-4402-47D5-8F54-6F3700959064}"/>
    <cellStyle name="Output 9 15" xfId="2070" xr:uid="{FDB3B5EC-C772-484A-A708-AC2458E7D92F}"/>
    <cellStyle name="Output 9 16" xfId="2132" xr:uid="{0C996FC2-10B5-4E57-8D62-80D84D562AAD}"/>
    <cellStyle name="Output 9 17" xfId="2194" xr:uid="{6EEAB1F1-0BB8-47CA-9B99-63390E389008}"/>
    <cellStyle name="Output 9 18" xfId="2257" xr:uid="{ABACA372-C5DE-481F-B52B-6FD40FDB3901}"/>
    <cellStyle name="Output 9 19" xfId="2316" xr:uid="{FCADC45E-D071-4400-94F0-7D3068621147}"/>
    <cellStyle name="Output 9 2" xfId="1137" xr:uid="{9CD9FFAE-DE74-41BF-B18D-EC92E129B688}"/>
    <cellStyle name="Output 9 20" xfId="2377" xr:uid="{A8B52E33-4EFB-46B5-BD92-B2FBCFB3A0C8}"/>
    <cellStyle name="Output 9 21" xfId="2438" xr:uid="{5FEBA869-9200-42EB-ACDF-6DDBB8D7FAA7}"/>
    <cellStyle name="Output 9 22" xfId="2501" xr:uid="{9F5342C9-9565-47E2-83B4-7316063CC94C}"/>
    <cellStyle name="Output 9 23" xfId="2558" xr:uid="{4B0CD4C2-F382-48B0-ADD6-669A7B173F76}"/>
    <cellStyle name="Output 9 24" xfId="2619" xr:uid="{829FE55F-0826-4252-B81E-CA0A956A65BD}"/>
    <cellStyle name="Output 9 25" xfId="2679" xr:uid="{A5708269-91D4-4BF7-AE02-894B812E338D}"/>
    <cellStyle name="Output 9 26" xfId="2726" xr:uid="{E9BB8BE4-6875-4F59-A361-F8A1E201B665}"/>
    <cellStyle name="Output 9 27" xfId="2778" xr:uid="{486284C8-42BD-411C-821E-0BC2C431E0F3}"/>
    <cellStyle name="Output 9 28" xfId="2826" xr:uid="{E1C84F0D-3E38-4E7F-B07C-C3F0F43D1352}"/>
    <cellStyle name="Output 9 29" xfId="2872" xr:uid="{DE08F80F-7471-45EE-B928-21A490575F13}"/>
    <cellStyle name="Output 9 3" xfId="1213" xr:uid="{1EDE585A-3D72-4670-98EC-3CB5F05DA300}"/>
    <cellStyle name="Output 9 30" xfId="2918" xr:uid="{E2B89DE2-1AEE-4529-B615-4E1C6750600D}"/>
    <cellStyle name="Output 9 31" xfId="2967" xr:uid="{E069E31F-42F5-4225-99E0-4DF8CF79F521}"/>
    <cellStyle name="Output 9 32" xfId="3013" xr:uid="{9FFC9AA5-842A-42AD-8375-7589677C4B7B}"/>
    <cellStyle name="Output 9 4" xfId="1289" xr:uid="{0A3A7285-A29B-454F-8528-A27201BA557E}"/>
    <cellStyle name="Output 9 5" xfId="1365" xr:uid="{2199D2B8-CBC9-49D2-8664-F8AA648E2D45}"/>
    <cellStyle name="Output 9 6" xfId="1441" xr:uid="{A1A46A2B-1968-47CD-B66F-AC85A8559C55}"/>
    <cellStyle name="Output 9 7" xfId="1516" xr:uid="{6FD24A8F-8C85-4929-8EAD-2D89CCD873F0}"/>
    <cellStyle name="Output 9 8" xfId="1592" xr:uid="{2E7A1179-AF66-4AF6-9E41-BFF6F3F6DADB}"/>
    <cellStyle name="Output 9 9" xfId="1667" xr:uid="{5B8015FD-68E2-4908-83A3-CC0EEFCE561A}"/>
    <cellStyle name="Title 10" xfId="625" xr:uid="{87402250-EBB3-4825-AEDF-1FBB62539D34}"/>
    <cellStyle name="Title 11" xfId="626" xr:uid="{D17045AA-A684-4257-B96D-3C49D3588887}"/>
    <cellStyle name="Title 12" xfId="627" xr:uid="{92372041-6545-4406-A150-2A29CBF51A65}"/>
    <cellStyle name="Title 13" xfId="628" xr:uid="{0A8AEE9B-D58B-4142-AE06-2E1B0B70F74E}"/>
    <cellStyle name="Title 14" xfId="629" xr:uid="{02E61B6D-D832-4037-8563-B1A5F1BBC876}"/>
    <cellStyle name="Title 15" xfId="630" xr:uid="{B90B2DF4-DAE4-480B-BEB0-D8AF70494880}"/>
    <cellStyle name="Title 16" xfId="631" xr:uid="{72A45495-F216-41E0-B276-B298FFCAD617}"/>
    <cellStyle name="Title 2" xfId="632" xr:uid="{A3CB6FE8-4892-447C-B986-87FF71E77F64}"/>
    <cellStyle name="Title 3" xfId="633" xr:uid="{5812DCFB-03A5-45EA-AA29-FB74150757B1}"/>
    <cellStyle name="Title 4" xfId="634" xr:uid="{113EE67B-BBE4-4E4E-A8BB-9A345C9DDFB8}"/>
    <cellStyle name="Title 5" xfId="635" xr:uid="{BA15E8EE-22BF-4F81-9177-769BB86787BD}"/>
    <cellStyle name="Title 6" xfId="636" xr:uid="{D64955D6-E05C-4F85-9D79-868EDFD25A8D}"/>
    <cellStyle name="Title 7" xfId="637" xr:uid="{6FEF44AF-EB77-4699-9948-9227FB8A393A}"/>
    <cellStyle name="Title 8" xfId="638" xr:uid="{277815FA-9D43-4B00-9339-BDA81EE6B280}"/>
    <cellStyle name="Title 9" xfId="639" xr:uid="{ACB49488-CF6D-48D2-9DD6-DC693DA92BA5}"/>
    <cellStyle name="Total 10" xfId="640" xr:uid="{C0887106-9BFC-45E5-88AF-308265B26224}"/>
    <cellStyle name="Total 10 10" xfId="1757" xr:uid="{5B076A54-8587-4FC2-A7B4-7FA3CC468A52}"/>
    <cellStyle name="Total 10 11" xfId="1822" xr:uid="{E396D305-ABEA-470E-AEEF-E31C1F421452}"/>
    <cellStyle name="Total 10 12" xfId="1888" xr:uid="{075BA306-0992-49E5-B075-676034635845}"/>
    <cellStyle name="Total 10 13" xfId="1952" xr:uid="{A3CCC3AF-8D4A-480B-8B48-9CE7D306DB1C}"/>
    <cellStyle name="Total 10 14" xfId="2014" xr:uid="{7BB5F9A4-3246-4DB7-B237-EC8BFD7FB360}"/>
    <cellStyle name="Total 10 15" xfId="2075" xr:uid="{3BA3D131-A0A1-4179-B159-6DCA19213FAC}"/>
    <cellStyle name="Total 10 16" xfId="2139" xr:uid="{DFCF41D6-006E-41AA-976E-1F3E9824352D}"/>
    <cellStyle name="Total 10 17" xfId="2200" xr:uid="{BDCDED8E-E382-46CA-846B-CF1EA7082A85}"/>
    <cellStyle name="Total 10 18" xfId="2261" xr:uid="{55D24730-6376-49E8-BF6A-D9628777EC44}"/>
    <cellStyle name="Total 10 19" xfId="2321" xr:uid="{8728A4DE-4745-4F21-BCC3-2D353B95F575}"/>
    <cellStyle name="Total 10 2" xfId="1153" xr:uid="{94607F20-BEFF-45C2-B9D2-FA94976D0D69}"/>
    <cellStyle name="Total 10 20" xfId="2382" xr:uid="{CAD2F72A-2C44-404B-A354-181AE8B5ABD4}"/>
    <cellStyle name="Total 10 21" xfId="2444" xr:uid="{E2E1F585-5517-44E4-93E1-990DF7C53321}"/>
    <cellStyle name="Total 10 22" xfId="2503" xr:uid="{FDFFA7FB-13C6-4375-BD6A-0F0813C37D60}"/>
    <cellStyle name="Total 10 23" xfId="2566" xr:uid="{84E5827D-8FDD-48BA-9E54-4C4C5D95029E}"/>
    <cellStyle name="Total 10 24" xfId="2625" xr:uid="{BCF76B7D-BD2A-4791-8150-A8A626FDE2AE}"/>
    <cellStyle name="Total 10 25" xfId="2680" xr:uid="{03B661C0-3ACD-456F-85C0-53A18B89F2CE}"/>
    <cellStyle name="Total 10 26" xfId="2732" xr:uid="{3E7268B0-B36C-4049-85A8-537D163A8F73}"/>
    <cellStyle name="Total 10 27" xfId="2779" xr:uid="{D92D10FE-352C-4E4C-B76E-320055190FC0}"/>
    <cellStyle name="Total 10 28" xfId="2827" xr:uid="{3C8FCF8F-63C0-4C8D-9927-0FC1AA1B438E}"/>
    <cellStyle name="Total 10 29" xfId="2873" xr:uid="{0AE496EC-F91B-4F3F-8552-8E5CE6010D80}"/>
    <cellStyle name="Total 10 3" xfId="1229" xr:uid="{072CDFFB-5F7D-4ECC-A9BF-8481A8F78939}"/>
    <cellStyle name="Total 10 30" xfId="2919" xr:uid="{A4C740FB-6742-443C-BE3E-3B0113D6E460}"/>
    <cellStyle name="Total 10 31" xfId="2968" xr:uid="{65A1DDDE-1337-4CC6-B605-78AE4213AD6B}"/>
    <cellStyle name="Total 10 32" xfId="3014" xr:uid="{A4A89D80-6C93-46CF-A282-ED93BCC0E2B0}"/>
    <cellStyle name="Total 10 4" xfId="1305" xr:uid="{9C91B4FE-B854-47D4-B351-376532E06740}"/>
    <cellStyle name="Total 10 5" xfId="1381" xr:uid="{4E05714E-D52D-4CAC-897E-30AE77771AEC}"/>
    <cellStyle name="Total 10 6" xfId="1456" xr:uid="{DBD438DE-71F7-485F-BD0C-724DADC4B1A1}"/>
    <cellStyle name="Total 10 7" xfId="1532" xr:uid="{CB5E7E4E-EF15-4B32-B9C3-2D5473DBA7E1}"/>
    <cellStyle name="Total 10 8" xfId="1607" xr:uid="{FF3E52DB-5AF8-4104-85F6-F34D0224E943}"/>
    <cellStyle name="Total 10 9" xfId="1681" xr:uid="{3EA05E53-9937-45DC-AF0E-DDB33CC04001}"/>
    <cellStyle name="Total 11" xfId="641" xr:uid="{29AC634E-DE00-4309-913E-72DB01235510}"/>
    <cellStyle name="Total 11 10" xfId="1758" xr:uid="{6FE21F19-8C17-478C-BB66-C5505CDD3DF4}"/>
    <cellStyle name="Total 11 11" xfId="1823" xr:uid="{6C556683-2A88-4CC7-A15C-7F508317EFCC}"/>
    <cellStyle name="Total 11 12" xfId="1889" xr:uid="{0D467F86-9EB1-4A22-82F6-780153D19D9E}"/>
    <cellStyle name="Total 11 13" xfId="1953" xr:uid="{2E512A5C-7BC0-4ECB-8A66-E0B8193EDC81}"/>
    <cellStyle name="Total 11 14" xfId="2015" xr:uid="{831AE45B-090C-4F86-B3FA-1F5FDA9C16E9}"/>
    <cellStyle name="Total 11 15" xfId="2076" xr:uid="{06353862-2626-446F-99B0-5E318C729B12}"/>
    <cellStyle name="Total 11 16" xfId="2140" xr:uid="{5B569DCB-868C-4EFA-A331-B972B8C70415}"/>
    <cellStyle name="Total 11 17" xfId="2201" xr:uid="{3F1F6344-7649-4545-A15C-660F4C281F23}"/>
    <cellStyle name="Total 11 18" xfId="2262" xr:uid="{6671CAFE-3964-4B38-A9E2-87CCE3C1256F}"/>
    <cellStyle name="Total 11 19" xfId="2322" xr:uid="{FBCBC3F2-DA0B-4FE6-84A3-61AFA18A84C4}"/>
    <cellStyle name="Total 11 2" xfId="1154" xr:uid="{AD0AE1E0-881A-454E-A4EA-7890F5C10891}"/>
    <cellStyle name="Total 11 20" xfId="2383" xr:uid="{7B884283-0CC3-4A58-9F8E-DD5265A62CA5}"/>
    <cellStyle name="Total 11 21" xfId="2445" xr:uid="{234C15A1-1F9C-40A6-8E2B-0F1AB5AA0177}"/>
    <cellStyle name="Total 11 22" xfId="2504" xr:uid="{C58007D1-E01E-4A3B-9A36-A2C970F44F57}"/>
    <cellStyle name="Total 11 23" xfId="2567" xr:uid="{F8D32D7D-FE9A-4A68-A820-0059F047113E}"/>
    <cellStyle name="Total 11 24" xfId="2626" xr:uid="{91FEBEBC-9EDF-4F94-A1E6-02E634A439CA}"/>
    <cellStyle name="Total 11 25" xfId="2681" xr:uid="{B5A75E54-FACA-4FA4-84FA-7B2265D3EC82}"/>
    <cellStyle name="Total 11 26" xfId="2733" xr:uid="{B4A0C612-DD40-42D9-AF66-F6D8D4993CD5}"/>
    <cellStyle name="Total 11 27" xfId="2780" xr:uid="{ED99B36E-1EDB-4370-9DB2-416D178F10D1}"/>
    <cellStyle name="Total 11 28" xfId="2828" xr:uid="{3A9A5746-94E7-45A5-B7BD-3998177FC4AD}"/>
    <cellStyle name="Total 11 29" xfId="2874" xr:uid="{771BE0AE-2790-428E-95DF-1F3F5319E2C7}"/>
    <cellStyle name="Total 11 3" xfId="1230" xr:uid="{0F4BEBC7-B425-4515-BC5B-FC9F65A8CB60}"/>
    <cellStyle name="Total 11 30" xfId="2920" xr:uid="{2AA89D10-00E2-4C03-B50E-8372CECB83BE}"/>
    <cellStyle name="Total 11 31" xfId="2969" xr:uid="{0D0D11CE-350C-4074-B317-96ADC0A67E94}"/>
    <cellStyle name="Total 11 32" xfId="3015" xr:uid="{57CCC344-D0BB-439F-9530-FD30BFEE3F37}"/>
    <cellStyle name="Total 11 4" xfId="1306" xr:uid="{60B4EE0A-5CED-4E99-853A-E64797F701D2}"/>
    <cellStyle name="Total 11 5" xfId="1382" xr:uid="{F66D067A-A880-477B-AC31-3DC3F57C60A3}"/>
    <cellStyle name="Total 11 6" xfId="1457" xr:uid="{155A2066-4C3C-4D4F-87FC-28835CF63C99}"/>
    <cellStyle name="Total 11 7" xfId="1533" xr:uid="{8B4605DF-A40B-487F-AAF9-167E2E3ABCF2}"/>
    <cellStyle name="Total 11 8" xfId="1608" xr:uid="{A31D7679-3E1B-421B-8594-6185E38B25E8}"/>
    <cellStyle name="Total 11 9" xfId="1682" xr:uid="{4DF93D6F-5590-4121-96DF-910157F4AD5F}"/>
    <cellStyle name="Total 12" xfId="642" xr:uid="{1C4861C7-8743-4D6C-AF24-8B7B507D4958}"/>
    <cellStyle name="Total 12 10" xfId="1759" xr:uid="{5AFCE063-22E7-46E7-9AAC-C09244F8A797}"/>
    <cellStyle name="Total 12 11" xfId="1824" xr:uid="{494F1908-A885-4264-BA75-C6D4522F206A}"/>
    <cellStyle name="Total 12 12" xfId="1890" xr:uid="{A677A57D-9DA2-427C-8C99-E0FEF0DBFAE2}"/>
    <cellStyle name="Total 12 13" xfId="1954" xr:uid="{E310560D-A59E-4353-AA56-140F16A1AEBF}"/>
    <cellStyle name="Total 12 14" xfId="2016" xr:uid="{A52954C3-660E-4FB0-A96E-0A89CAA8B9F9}"/>
    <cellStyle name="Total 12 15" xfId="2077" xr:uid="{C57D90BE-CFF4-44B6-AABA-3AEDE4E211FE}"/>
    <cellStyle name="Total 12 16" xfId="2141" xr:uid="{B8225679-909D-461C-B54C-B9C398372849}"/>
    <cellStyle name="Total 12 17" xfId="2202" xr:uid="{66BD98B5-864E-4F06-9E33-A2D0A9CAE65B}"/>
    <cellStyle name="Total 12 18" xfId="2263" xr:uid="{2A6E843E-4D46-4937-BADD-7CF8C1086796}"/>
    <cellStyle name="Total 12 19" xfId="2323" xr:uid="{6FA97FB3-424A-474A-8A65-D6F56C2B49DF}"/>
    <cellStyle name="Total 12 2" xfId="1155" xr:uid="{023890FA-34CE-42F1-BC86-4308EDAC6F3A}"/>
    <cellStyle name="Total 12 20" xfId="2384" xr:uid="{DA453722-9F3B-4B02-83CC-39B6C94FF2ED}"/>
    <cellStyle name="Total 12 21" xfId="2446" xr:uid="{70AD4202-BE8D-4E5D-838A-6527C1509546}"/>
    <cellStyle name="Total 12 22" xfId="2505" xr:uid="{BDE31DEA-6360-46DB-A0AE-A6D6EBCA251B}"/>
    <cellStyle name="Total 12 23" xfId="2568" xr:uid="{4400CEFB-B2A2-4D4E-889B-ABD764E1A60D}"/>
    <cellStyle name="Total 12 24" xfId="2627" xr:uid="{F02E15F4-2104-4A1C-9177-06F1F093B998}"/>
    <cellStyle name="Total 12 25" xfId="2682" xr:uid="{8207C179-3AE7-44A2-A9C5-55796D25BE53}"/>
    <cellStyle name="Total 12 26" xfId="2734" xr:uid="{6ACD996B-FF45-49BD-A154-62A143543319}"/>
    <cellStyle name="Total 12 27" xfId="2781" xr:uid="{3A017FB3-91E3-439A-8B98-633C8A355514}"/>
    <cellStyle name="Total 12 28" xfId="2829" xr:uid="{602DFE92-DF39-4C2D-9011-2EF144738917}"/>
    <cellStyle name="Total 12 29" xfId="2875" xr:uid="{30739B46-F382-47A5-8B65-B93F505DF34A}"/>
    <cellStyle name="Total 12 3" xfId="1231" xr:uid="{A5907A06-BE45-4C1D-A541-7894EBB34259}"/>
    <cellStyle name="Total 12 30" xfId="2921" xr:uid="{DB6BE467-E859-4E3A-9A55-17CE0957D8B6}"/>
    <cellStyle name="Total 12 31" xfId="2970" xr:uid="{6F07B885-7E04-4076-BBEF-47A3FA40A76D}"/>
    <cellStyle name="Total 12 32" xfId="3016" xr:uid="{6FC83829-0878-4B0E-BA1E-3C3E0D77163D}"/>
    <cellStyle name="Total 12 4" xfId="1307" xr:uid="{8175DDBA-E1A4-41E7-A808-43F5666DDA30}"/>
    <cellStyle name="Total 12 5" xfId="1383" xr:uid="{883059D1-A7D0-464E-AF6F-07B573EB3E50}"/>
    <cellStyle name="Total 12 6" xfId="1458" xr:uid="{548462C1-8301-4082-9B97-6A8C3768B25B}"/>
    <cellStyle name="Total 12 7" xfId="1534" xr:uid="{ABB1E36B-9916-4BE5-8456-B31110676FA4}"/>
    <cellStyle name="Total 12 8" xfId="1609" xr:uid="{6B6FA4F6-03AD-48E3-9A29-80EE0257D8BE}"/>
    <cellStyle name="Total 12 9" xfId="1683" xr:uid="{098604AE-0BFE-419F-9E9F-B495800C668C}"/>
    <cellStyle name="Total 13" xfId="643" xr:uid="{A77E9418-B56E-4662-A65E-E79F433601C6}"/>
    <cellStyle name="Total 13 10" xfId="1760" xr:uid="{A6BCB659-D6DF-4AF4-B0BD-482CBC2EC870}"/>
    <cellStyle name="Total 13 11" xfId="1825" xr:uid="{8E8387D0-0E94-44A6-9AD7-CDBEAFD35B11}"/>
    <cellStyle name="Total 13 12" xfId="1891" xr:uid="{480E2040-03F1-45E8-AF9E-73015A567790}"/>
    <cellStyle name="Total 13 13" xfId="1955" xr:uid="{1819EF99-7F28-4E88-A290-0DBAD5568AA3}"/>
    <cellStyle name="Total 13 14" xfId="2017" xr:uid="{CC5203D3-08E7-4B37-A4C5-5FEC15821008}"/>
    <cellStyle name="Total 13 15" xfId="2078" xr:uid="{34AA8928-9482-4B74-BF6B-69AA9102D171}"/>
    <cellStyle name="Total 13 16" xfId="2142" xr:uid="{0871BCFA-3AFA-4238-ACB4-E2B9D2DB90B6}"/>
    <cellStyle name="Total 13 17" xfId="2203" xr:uid="{F7A4185C-6EA7-4A13-B79D-A8594369B1FF}"/>
    <cellStyle name="Total 13 18" xfId="2264" xr:uid="{4AFDCBD5-7E7D-4E0B-851E-945CE9A6BECA}"/>
    <cellStyle name="Total 13 19" xfId="2324" xr:uid="{CEFF6073-96B9-4BBF-9404-E15544D7B751}"/>
    <cellStyle name="Total 13 2" xfId="1156" xr:uid="{2FAC142D-8C90-437E-BDAF-F98A48624491}"/>
    <cellStyle name="Total 13 20" xfId="2385" xr:uid="{C7A0528F-D49C-4D0E-9511-7084639D0CE6}"/>
    <cellStyle name="Total 13 21" xfId="2447" xr:uid="{E715B8B0-B5D2-4015-A0FF-8D907DA66EB2}"/>
    <cellStyle name="Total 13 22" xfId="2506" xr:uid="{C42A200F-0A35-49A7-95EA-30EE036EA2BE}"/>
    <cellStyle name="Total 13 23" xfId="2569" xr:uid="{FD6A7230-FE2F-40B0-B9FE-5C32256A8469}"/>
    <cellStyle name="Total 13 24" xfId="2628" xr:uid="{1DA7CC47-3FF4-4ECB-BED6-0F46BA4E70E0}"/>
    <cellStyle name="Total 13 25" xfId="2683" xr:uid="{984C8978-6212-4CB6-8D8B-4CB60954B505}"/>
    <cellStyle name="Total 13 26" xfId="2735" xr:uid="{8E639230-C6E4-4485-A88D-16400B73B55E}"/>
    <cellStyle name="Total 13 27" xfId="2782" xr:uid="{B3A88ACA-0C3E-4A1F-AF88-06FDBE644FE4}"/>
    <cellStyle name="Total 13 28" xfId="2830" xr:uid="{0A0F82E2-4E3F-479B-A48B-D5CD57D6A3D0}"/>
    <cellStyle name="Total 13 29" xfId="2876" xr:uid="{88E8D07C-9D6C-4639-8BD3-43DBD18078C6}"/>
    <cellStyle name="Total 13 3" xfId="1232" xr:uid="{41B34BF9-D0E5-4AAF-BCCC-797B04DC84E2}"/>
    <cellStyle name="Total 13 30" xfId="2922" xr:uid="{B5718D37-5303-4F6A-8AC9-8EDEFC93AB98}"/>
    <cellStyle name="Total 13 31" xfId="2971" xr:uid="{0B7755DA-038F-4443-98DF-0DAECE142D81}"/>
    <cellStyle name="Total 13 32" xfId="3017" xr:uid="{2E982F4C-F7BF-4EF3-B84C-2552BEB8EAE7}"/>
    <cellStyle name="Total 13 4" xfId="1308" xr:uid="{C8C89BC9-4F97-4D75-BE09-D71C017B1F91}"/>
    <cellStyle name="Total 13 5" xfId="1384" xr:uid="{FBD3E14B-6C2B-40B3-A58F-FFE5181D3B7E}"/>
    <cellStyle name="Total 13 6" xfId="1459" xr:uid="{27266936-D3FD-4278-B6F6-48CED90E5170}"/>
    <cellStyle name="Total 13 7" xfId="1535" xr:uid="{1446F755-73A9-4175-95C9-706AE8110744}"/>
    <cellStyle name="Total 13 8" xfId="1610" xr:uid="{BBFE8FCA-99BD-4E3E-B5A5-731318598230}"/>
    <cellStyle name="Total 13 9" xfId="1684" xr:uid="{ACBD751B-9778-462D-8240-18C14B07DDB2}"/>
    <cellStyle name="Total 14" xfId="644" xr:uid="{3F771B65-BF05-4A67-BD77-2AB259E6F1EB}"/>
    <cellStyle name="Total 14 10" xfId="1761" xr:uid="{7AE4F369-DA2D-471C-952A-42290FA9ECBD}"/>
    <cellStyle name="Total 14 11" xfId="1826" xr:uid="{EEFAADBA-D9B5-4A8A-A15D-CECA47BD080A}"/>
    <cellStyle name="Total 14 12" xfId="1892" xr:uid="{3D19E33D-B3D5-46C4-BC7D-49D72A0C848E}"/>
    <cellStyle name="Total 14 13" xfId="1956" xr:uid="{A3DCBD32-BD3B-4221-B7C1-FD6360C19B90}"/>
    <cellStyle name="Total 14 14" xfId="2018" xr:uid="{1B4CABEC-F157-4AB8-AA84-D0D56FF601CB}"/>
    <cellStyle name="Total 14 15" xfId="2079" xr:uid="{D3B83C85-381C-4613-ABC8-8B2A7FCA4413}"/>
    <cellStyle name="Total 14 16" xfId="2143" xr:uid="{2AD87C86-7F8A-4DF9-8226-74CE46F9C973}"/>
    <cellStyle name="Total 14 17" xfId="2204" xr:uid="{650622A2-A24B-4F4F-8DC9-A871E1AB78B5}"/>
    <cellStyle name="Total 14 18" xfId="2265" xr:uid="{F96DC957-8007-49F8-A331-4BDE59BA66C2}"/>
    <cellStyle name="Total 14 19" xfId="2325" xr:uid="{A8D25365-52BB-4BAE-94B2-3A470AF1D9CF}"/>
    <cellStyle name="Total 14 2" xfId="1157" xr:uid="{66FEA547-3573-44C3-A14B-A0984284E0D2}"/>
    <cellStyle name="Total 14 20" xfId="2386" xr:uid="{43D3928A-D26D-434C-9753-011F9A5942A9}"/>
    <cellStyle name="Total 14 21" xfId="2448" xr:uid="{0AB148AB-2F07-4463-AAB7-861A961C0499}"/>
    <cellStyle name="Total 14 22" xfId="2507" xr:uid="{23FA958E-2926-40FC-91EE-0F11C7D33A9D}"/>
    <cellStyle name="Total 14 23" xfId="2570" xr:uid="{75897B70-05D8-44E8-A790-D34453B31477}"/>
    <cellStyle name="Total 14 24" xfId="2629" xr:uid="{B4ABFDE5-7051-47BD-A86B-1438ACA401DF}"/>
    <cellStyle name="Total 14 25" xfId="2684" xr:uid="{0CB80B77-2C82-4897-A493-CEA312173BB2}"/>
    <cellStyle name="Total 14 26" xfId="2736" xr:uid="{0B3549A8-6B14-4772-92F0-06CB32B144BE}"/>
    <cellStyle name="Total 14 27" xfId="2783" xr:uid="{5801123B-1017-4C3C-A3C3-4B43E0ED2A79}"/>
    <cellStyle name="Total 14 28" xfId="2831" xr:uid="{B2FA6D4C-5EEB-4C14-B5D6-46F66E71E781}"/>
    <cellStyle name="Total 14 29" xfId="2877" xr:uid="{09C029F9-A4B8-41A9-9FF7-28E7A057830E}"/>
    <cellStyle name="Total 14 3" xfId="1233" xr:uid="{9563B3DE-C3EA-49B0-BE1C-0F21A1913FE1}"/>
    <cellStyle name="Total 14 30" xfId="2923" xr:uid="{6C80320C-4BD3-4D3D-84B0-1D9680548A4D}"/>
    <cellStyle name="Total 14 31" xfId="2972" xr:uid="{08938C8E-07F0-4D59-900C-8F47F0D985D5}"/>
    <cellStyle name="Total 14 32" xfId="3018" xr:uid="{65368B8E-7A0B-4297-95F5-7741582905D4}"/>
    <cellStyle name="Total 14 4" xfId="1309" xr:uid="{C2DB9CA5-1EB8-4A13-B1B9-84910E84E6C2}"/>
    <cellStyle name="Total 14 5" xfId="1385" xr:uid="{3A3A6AB0-BB5C-41F6-9764-BC26C7DF4183}"/>
    <cellStyle name="Total 14 6" xfId="1460" xr:uid="{D48D4455-950C-4E62-A87B-CD7729B8AA69}"/>
    <cellStyle name="Total 14 7" xfId="1536" xr:uid="{99E2FC95-F82C-4DC2-BF72-5C05F65F0D34}"/>
    <cellStyle name="Total 14 8" xfId="1611" xr:uid="{71440C9A-8F30-41B1-8887-F937519C59BE}"/>
    <cellStyle name="Total 14 9" xfId="1685" xr:uid="{3CD26AAC-6FD6-4404-97E9-3A5D42D3D379}"/>
    <cellStyle name="Total 15" xfId="645" xr:uid="{884610A7-037C-4B15-A616-F47E06693272}"/>
    <cellStyle name="Total 15 10" xfId="1762" xr:uid="{89129B51-668C-46B1-80AE-840FDA883884}"/>
    <cellStyle name="Total 15 11" xfId="1827" xr:uid="{65BC25AE-B529-45F6-BFDD-CC18CC1E010B}"/>
    <cellStyle name="Total 15 12" xfId="1893" xr:uid="{94C9911E-ABC4-4EA4-A1C6-4E7F4FFD3060}"/>
    <cellStyle name="Total 15 13" xfId="1957" xr:uid="{019887F4-13B4-4D86-AEC6-1412F409449E}"/>
    <cellStyle name="Total 15 14" xfId="2019" xr:uid="{A850F11E-EA9C-4ABA-9BEC-C17CDA66224A}"/>
    <cellStyle name="Total 15 15" xfId="2080" xr:uid="{13D1407C-3F51-4D09-861A-BF047EFFE053}"/>
    <cellStyle name="Total 15 16" xfId="2144" xr:uid="{E67AAC2C-7E1E-4007-9AA9-6C7276594DE0}"/>
    <cellStyle name="Total 15 17" xfId="2205" xr:uid="{89DBBD8D-F8B5-4C10-AB79-99F2F90FF9E2}"/>
    <cellStyle name="Total 15 18" xfId="2266" xr:uid="{93975936-2C39-45C7-B4C8-BFC432BE2070}"/>
    <cellStyle name="Total 15 19" xfId="2326" xr:uid="{3997124C-3FB6-440C-B4A8-4346B71AA835}"/>
    <cellStyle name="Total 15 2" xfId="1158" xr:uid="{55526271-9D77-42AD-BDF1-999E8CDE59C2}"/>
    <cellStyle name="Total 15 20" xfId="2387" xr:uid="{39BC5E39-90C0-4985-B463-2B2854664B56}"/>
    <cellStyle name="Total 15 21" xfId="2449" xr:uid="{1D9DA3A0-85A7-4011-9EDE-8680BC40084A}"/>
    <cellStyle name="Total 15 22" xfId="2508" xr:uid="{2BF41B62-CFA0-428E-A2D4-96D6F349B305}"/>
    <cellStyle name="Total 15 23" xfId="2571" xr:uid="{8EBA19E0-7DF2-44AF-802A-5902DE8D8E9C}"/>
    <cellStyle name="Total 15 24" xfId="2630" xr:uid="{B8882FD4-606D-4CA5-84AC-1CA698C89CAF}"/>
    <cellStyle name="Total 15 25" xfId="2685" xr:uid="{AEDA9EED-2C4F-464C-8DE3-2A1F5470AB88}"/>
    <cellStyle name="Total 15 26" xfId="2737" xr:uid="{861935EC-DF02-4A76-9C6B-9D248532B061}"/>
    <cellStyle name="Total 15 27" xfId="2784" xr:uid="{5278FB4D-B1F3-42F3-84F0-4CB73A71452E}"/>
    <cellStyle name="Total 15 28" xfId="2832" xr:uid="{B19AFCDC-5348-44CE-9E53-ABD000981234}"/>
    <cellStyle name="Total 15 29" xfId="2878" xr:uid="{5704C9DB-53E9-43D7-9A25-E185D5789E21}"/>
    <cellStyle name="Total 15 3" xfId="1234" xr:uid="{B4DE0A9D-69D3-4206-8FE0-9E222D318912}"/>
    <cellStyle name="Total 15 30" xfId="2924" xr:uid="{16C04789-9400-454B-842A-355FC01E5419}"/>
    <cellStyle name="Total 15 31" xfId="2973" xr:uid="{DDA02B94-595A-4F6C-83BA-597527CF21A3}"/>
    <cellStyle name="Total 15 32" xfId="3019" xr:uid="{9B8987F3-7A9F-42AE-B122-1056DC3EE17A}"/>
    <cellStyle name="Total 15 4" xfId="1310" xr:uid="{8FE8C620-E326-48E6-ADCC-48F242A41DE6}"/>
    <cellStyle name="Total 15 5" xfId="1386" xr:uid="{C36C8340-4B1C-4437-AE09-8004CF6A6EC6}"/>
    <cellStyle name="Total 15 6" xfId="1461" xr:uid="{AF0AB3C4-A0E1-4278-81FB-77B33108AB8F}"/>
    <cellStyle name="Total 15 7" xfId="1537" xr:uid="{803B6C8A-A656-4E27-979B-8F71157DCDD9}"/>
    <cellStyle name="Total 15 8" xfId="1612" xr:uid="{2F994B65-CA5E-4999-BA18-7FB0F41C8B63}"/>
    <cellStyle name="Total 15 9" xfId="1686" xr:uid="{E4E809C6-9EC6-4CFC-A8B2-4C2AD030557D}"/>
    <cellStyle name="Total 16" xfId="646" xr:uid="{4926EFFE-48ED-4A49-BD75-EEC5D253F59D}"/>
    <cellStyle name="Total 16 10" xfId="1763" xr:uid="{661E4E8C-6141-4067-B5A6-337B9856F9FD}"/>
    <cellStyle name="Total 16 11" xfId="1828" xr:uid="{9188D56E-10B1-43DF-942A-2AE9B253E5A3}"/>
    <cellStyle name="Total 16 12" xfId="1894" xr:uid="{5B6F0222-0852-4B60-AFDD-6851FBB623C0}"/>
    <cellStyle name="Total 16 13" xfId="1958" xr:uid="{E02E5310-5F47-4203-A64A-890F053FF1CC}"/>
    <cellStyle name="Total 16 14" xfId="2020" xr:uid="{CDF2A67B-E412-4527-8A38-3BE67C3324DF}"/>
    <cellStyle name="Total 16 15" xfId="2081" xr:uid="{E7E09640-5942-4B61-81A4-1A51A4A1566B}"/>
    <cellStyle name="Total 16 16" xfId="2145" xr:uid="{7782964A-5190-4501-B688-3902D4732657}"/>
    <cellStyle name="Total 16 17" xfId="2206" xr:uid="{FC7264D2-21B8-4AEF-8423-187A720D85BD}"/>
    <cellStyle name="Total 16 18" xfId="2267" xr:uid="{3334BB6B-E673-4894-9BD8-FEF88CE920EE}"/>
    <cellStyle name="Total 16 19" xfId="2327" xr:uid="{5FDEEC3A-A78C-46EB-948D-02E765F3594B}"/>
    <cellStyle name="Total 16 2" xfId="1159" xr:uid="{B0967C17-EED1-4D98-9FD8-1E058AD88634}"/>
    <cellStyle name="Total 16 20" xfId="2388" xr:uid="{4259B4A2-987B-45C0-AE82-26A571A18EB0}"/>
    <cellStyle name="Total 16 21" xfId="2450" xr:uid="{89389807-4EC8-4077-A830-ABE01919415E}"/>
    <cellStyle name="Total 16 22" xfId="2509" xr:uid="{878A2413-E9B6-4FAD-B5F0-86518897A651}"/>
    <cellStyle name="Total 16 23" xfId="2572" xr:uid="{93BA3300-5DE2-44E7-9B25-CFC13697E692}"/>
    <cellStyle name="Total 16 24" xfId="2631" xr:uid="{CCD2A506-4650-413A-92BA-520961CA1789}"/>
    <cellStyle name="Total 16 25" xfId="2686" xr:uid="{EFA07ED2-686C-415E-ADFE-E5897BD8E233}"/>
    <cellStyle name="Total 16 26" xfId="2738" xr:uid="{132C8706-DAB1-4139-81B8-672C5651E2FD}"/>
    <cellStyle name="Total 16 27" xfId="2785" xr:uid="{E77C1268-F326-44DC-987B-15B6512F22A0}"/>
    <cellStyle name="Total 16 28" xfId="2833" xr:uid="{1467BFF0-67B9-4D75-810B-C2A853F34BF8}"/>
    <cellStyle name="Total 16 29" xfId="2879" xr:uid="{15D01ACC-17EC-4F1E-8B5E-1C9FB75036C8}"/>
    <cellStyle name="Total 16 3" xfId="1235" xr:uid="{AFDEDF44-3C75-4295-9B75-A49204941D46}"/>
    <cellStyle name="Total 16 30" xfId="2925" xr:uid="{29D3FCCF-37F2-4B52-86A6-75BD9C605411}"/>
    <cellStyle name="Total 16 31" xfId="2974" xr:uid="{519E790B-5666-4C55-ADA2-25B05D2967E3}"/>
    <cellStyle name="Total 16 32" xfId="3020" xr:uid="{1CD12C98-CD02-4507-B9B0-E89642F5E4B8}"/>
    <cellStyle name="Total 16 4" xfId="1311" xr:uid="{E29F5CCD-EEE6-4814-B9D5-E0685A13FE27}"/>
    <cellStyle name="Total 16 5" xfId="1387" xr:uid="{9B45C999-0541-44EE-9978-CBE8FC917B0E}"/>
    <cellStyle name="Total 16 6" xfId="1462" xr:uid="{E53238AA-550A-430A-A757-D99F60328934}"/>
    <cellStyle name="Total 16 7" xfId="1538" xr:uid="{2D490B92-D4D1-4DA5-9C04-27B83C6E2BB8}"/>
    <cellStyle name="Total 16 8" xfId="1613" xr:uid="{032C7765-117B-404B-A7BF-8F2BA51173E0}"/>
    <cellStyle name="Total 16 9" xfId="1687" xr:uid="{9F23A176-D7B9-4C6A-B199-9549C5A2F75B}"/>
    <cellStyle name="Total 2" xfId="647" xr:uid="{AAD2EE2D-453D-42DB-86BB-0480A96A4661}"/>
    <cellStyle name="Total 2 10" xfId="1764" xr:uid="{38712322-5C89-4FBE-9405-51FD4A4BE9D6}"/>
    <cellStyle name="Total 2 11" xfId="1829" xr:uid="{E8BBE562-44FB-462B-9B41-F00107F91AF1}"/>
    <cellStyle name="Total 2 12" xfId="1895" xr:uid="{FCE5C2CA-349C-48BE-9DB3-3252842CA964}"/>
    <cellStyle name="Total 2 13" xfId="1959" xr:uid="{E1E9C492-0C04-4597-A8E7-EE8DF0E17588}"/>
    <cellStyle name="Total 2 14" xfId="2021" xr:uid="{C85499AF-91AC-417C-8785-781D4CD05CB1}"/>
    <cellStyle name="Total 2 15" xfId="2082" xr:uid="{65642B25-9197-4D00-88A5-C48FFA06EE03}"/>
    <cellStyle name="Total 2 16" xfId="2146" xr:uid="{2AC6BAC5-FE30-4EA5-8B2F-50E592CA0E22}"/>
    <cellStyle name="Total 2 17" xfId="2207" xr:uid="{1E5408BD-CEAD-415F-8279-7045F291E0B9}"/>
    <cellStyle name="Total 2 18" xfId="2268" xr:uid="{4EFCF694-735C-424F-83B1-5A5D23FE957C}"/>
    <cellStyle name="Total 2 19" xfId="2328" xr:uid="{D38079FF-E514-4CBF-A18D-4CC2F944D16A}"/>
    <cellStyle name="Total 2 2" xfId="1160" xr:uid="{0EFF2090-50A1-48CE-996D-822D734BEA02}"/>
    <cellStyle name="Total 2 20" xfId="2389" xr:uid="{F0300A19-A14B-4E32-9CD4-5D540F477E52}"/>
    <cellStyle name="Total 2 21" xfId="2451" xr:uid="{6AB85EB9-59F4-423C-924E-DC8F84F3A75C}"/>
    <cellStyle name="Total 2 22" xfId="2510" xr:uid="{49983159-BBDF-4C6D-B549-B6D7616254D4}"/>
    <cellStyle name="Total 2 23" xfId="2573" xr:uid="{73A4FA54-4D6B-4131-B422-C959F1CCBD58}"/>
    <cellStyle name="Total 2 24" xfId="2632" xr:uid="{BA30E336-400D-44CE-8D2E-88F8B9DB73FA}"/>
    <cellStyle name="Total 2 25" xfId="2687" xr:uid="{6F6CC2D9-38E6-4A43-93EF-3F1015467882}"/>
    <cellStyle name="Total 2 26" xfId="2739" xr:uid="{BB4F357B-52DD-4195-A5F1-40E9668695EC}"/>
    <cellStyle name="Total 2 27" xfId="2786" xr:uid="{A7F26258-AF3C-49A7-BFDB-DA8775265E15}"/>
    <cellStyle name="Total 2 28" xfId="2834" xr:uid="{C5B43A68-7362-41D5-8755-628989A1499C}"/>
    <cellStyle name="Total 2 29" xfId="2880" xr:uid="{79F41844-C7F4-4731-B8ED-20265CB6B057}"/>
    <cellStyle name="Total 2 3" xfId="1236" xr:uid="{94EA0C6F-44AD-42B6-8E19-90D7D0A7EA54}"/>
    <cellStyle name="Total 2 30" xfId="2926" xr:uid="{3271F4AF-71EB-4E4E-823C-16E5189FC590}"/>
    <cellStyle name="Total 2 31" xfId="2975" xr:uid="{6287E9B0-BC81-4C57-A3D8-4617F2C2B480}"/>
    <cellStyle name="Total 2 32" xfId="3021" xr:uid="{BF2CB7C4-0278-41EB-877C-CB44A113976F}"/>
    <cellStyle name="Total 2 4" xfId="1312" xr:uid="{844C1E91-4F54-4CBF-9859-D25B5BDD6D27}"/>
    <cellStyle name="Total 2 5" xfId="1388" xr:uid="{F81C3D3E-D9DB-4A6C-A157-16DDA869D7EC}"/>
    <cellStyle name="Total 2 6" xfId="1463" xr:uid="{AFD7F40F-EC61-4C52-B2C4-3F34034FF200}"/>
    <cellStyle name="Total 2 7" xfId="1539" xr:uid="{3C167B86-1628-4A91-8319-FE2D6F639140}"/>
    <cellStyle name="Total 2 8" xfId="1614" xr:uid="{B363627C-14C9-4AFA-8A09-AA091A76B838}"/>
    <cellStyle name="Total 2 9" xfId="1688" xr:uid="{AC1216B1-6A15-4DB9-8692-07AE2D9A51F5}"/>
    <cellStyle name="Total 3" xfId="648" xr:uid="{D12F0D54-0B2B-4622-AFC1-3B2E6C9F6054}"/>
    <cellStyle name="Total 3 10" xfId="1765" xr:uid="{7C330DAD-FA2A-4553-9A0E-694F30A8D553}"/>
    <cellStyle name="Total 3 11" xfId="1830" xr:uid="{6C9FE950-76C7-422E-9160-5329D1A50AC7}"/>
    <cellStyle name="Total 3 12" xfId="1896" xr:uid="{B7D26724-0FD9-4A35-83D0-28E3AC5DB069}"/>
    <cellStyle name="Total 3 13" xfId="1960" xr:uid="{E29F5713-2437-4B33-8D99-D0DB5827E610}"/>
    <cellStyle name="Total 3 14" xfId="2022" xr:uid="{8EC6CE5C-4984-4348-905C-E580CFAA78F9}"/>
    <cellStyle name="Total 3 15" xfId="2083" xr:uid="{8F32BD33-AF90-4EB3-8671-554ACF5EF9FF}"/>
    <cellStyle name="Total 3 16" xfId="2147" xr:uid="{CA4056A3-5EC9-4E94-9F5D-B55888D0B9DF}"/>
    <cellStyle name="Total 3 17" xfId="2208" xr:uid="{94C0ABF1-C762-4EC5-93A1-B6C5DCD60261}"/>
    <cellStyle name="Total 3 18" xfId="2269" xr:uid="{B68B3175-ABB8-4BEC-955B-1701E7161BB2}"/>
    <cellStyle name="Total 3 19" xfId="2329" xr:uid="{525F4704-693D-45E2-9A05-FD126F00D68B}"/>
    <cellStyle name="Total 3 2" xfId="1161" xr:uid="{8E626AF6-4C63-4DE3-8A1B-869931ED5302}"/>
    <cellStyle name="Total 3 20" xfId="2390" xr:uid="{227798DA-AB5B-4DAB-B541-8D1F4E25E89B}"/>
    <cellStyle name="Total 3 21" xfId="2452" xr:uid="{EB75DFB8-11AB-443E-BC89-454A07EE9138}"/>
    <cellStyle name="Total 3 22" xfId="2511" xr:uid="{7AC5459C-F5C6-4A09-B8C3-EE7455BEDCEB}"/>
    <cellStyle name="Total 3 23" xfId="2574" xr:uid="{987CB965-BC60-4791-B9FA-CF3A47DE6013}"/>
    <cellStyle name="Total 3 24" xfId="2633" xr:uid="{1B34BD46-4707-4181-AAA9-E38E3ADCB809}"/>
    <cellStyle name="Total 3 25" xfId="2688" xr:uid="{9C4709FC-E1E9-422D-AA6D-882CA27AA275}"/>
    <cellStyle name="Total 3 26" xfId="2740" xr:uid="{625E93C4-3764-4200-8813-B007D3126780}"/>
    <cellStyle name="Total 3 27" xfId="2787" xr:uid="{38E34D66-7AC6-40C5-8342-9792253C1453}"/>
    <cellStyle name="Total 3 28" xfId="2835" xr:uid="{21361834-10B8-4F16-A852-B6FC2DAE3024}"/>
    <cellStyle name="Total 3 29" xfId="2881" xr:uid="{CAB62348-F723-4DB2-8F65-07B8EEFDA452}"/>
    <cellStyle name="Total 3 3" xfId="1237" xr:uid="{251527CB-358C-43B9-AD02-69E0F3C6743A}"/>
    <cellStyle name="Total 3 30" xfId="2927" xr:uid="{871440DF-599F-44D7-A36A-A50FA2E4EEC8}"/>
    <cellStyle name="Total 3 31" xfId="2976" xr:uid="{0327B51D-17AD-4DB5-8ABA-6DAFFC2DFB1A}"/>
    <cellStyle name="Total 3 32" xfId="3022" xr:uid="{D5110779-0AF2-4133-8B21-7983C19B520E}"/>
    <cellStyle name="Total 3 4" xfId="1313" xr:uid="{B113B42D-96A4-453D-B1F1-F60E8EC7750B}"/>
    <cellStyle name="Total 3 5" xfId="1389" xr:uid="{4325ACBF-0224-4129-B85B-173FA4B24EC1}"/>
    <cellStyle name="Total 3 6" xfId="1464" xr:uid="{A3E03854-3323-40F2-9053-A5F3EB4965D2}"/>
    <cellStyle name="Total 3 7" xfId="1540" xr:uid="{D1F8C608-A8F4-4803-A201-434515BFBC28}"/>
    <cellStyle name="Total 3 8" xfId="1615" xr:uid="{1444FAB0-7F49-4BEA-B2D2-7D27BDB46FBC}"/>
    <cellStyle name="Total 3 9" xfId="1689" xr:uid="{22F8CC5F-73DD-4B0A-929A-6EC87C271C55}"/>
    <cellStyle name="Total 4" xfId="649" xr:uid="{D8FD9615-B9AE-42A5-A11C-74D0839DF524}"/>
    <cellStyle name="Total 4 10" xfId="1766" xr:uid="{1F5FECB9-9113-4FB8-A1B2-BEB70C50608E}"/>
    <cellStyle name="Total 4 11" xfId="1831" xr:uid="{6007F0AF-CDB9-44AC-82DB-49645A12B3F1}"/>
    <cellStyle name="Total 4 12" xfId="1897" xr:uid="{3756204F-E3E1-493E-A46B-3ADADDE40801}"/>
    <cellStyle name="Total 4 13" xfId="1961" xr:uid="{1330BACE-3082-4180-8336-AFF51CECFC45}"/>
    <cellStyle name="Total 4 14" xfId="2023" xr:uid="{0A3E2A74-71B5-4954-A350-DA6DFF8255D5}"/>
    <cellStyle name="Total 4 15" xfId="2084" xr:uid="{1257ADD8-5102-4A31-BA42-DE7CAAF863D3}"/>
    <cellStyle name="Total 4 16" xfId="2148" xr:uid="{D0606089-DCDD-468E-9DD7-4D14762EB2A4}"/>
    <cellStyle name="Total 4 17" xfId="2209" xr:uid="{9F8A439B-480C-4A8C-A6FD-EF7F1B8BD7B5}"/>
    <cellStyle name="Total 4 18" xfId="2270" xr:uid="{C64C4F18-6A54-45DA-B184-D39F2DBE3940}"/>
    <cellStyle name="Total 4 19" xfId="2330" xr:uid="{2663CB6C-56B6-4757-91A0-695A697F0701}"/>
    <cellStyle name="Total 4 2" xfId="1162" xr:uid="{358262B8-1551-46D9-AF2F-E1A35C0D8FFD}"/>
    <cellStyle name="Total 4 20" xfId="2391" xr:uid="{511652BD-BC8B-4608-A801-5DE1054E1C68}"/>
    <cellStyle name="Total 4 21" xfId="2453" xr:uid="{B3DF4AF0-5769-46DF-B8ED-91F2C617CAAA}"/>
    <cellStyle name="Total 4 22" xfId="2512" xr:uid="{076B8CE6-4CDF-48EC-9C4A-A179ECDB6FAA}"/>
    <cellStyle name="Total 4 23" xfId="2575" xr:uid="{D5712B24-5A2C-4006-A606-1F5E8E383258}"/>
    <cellStyle name="Total 4 24" xfId="2634" xr:uid="{34A16FFA-C33E-401D-957A-A6E888AB872E}"/>
    <cellStyle name="Total 4 25" xfId="2689" xr:uid="{E8836E71-EE67-4748-95FC-CA01FE475AF1}"/>
    <cellStyle name="Total 4 26" xfId="2741" xr:uid="{B04B9AED-DCF6-456B-AE9D-DC31F85BC820}"/>
    <cellStyle name="Total 4 27" xfId="2788" xr:uid="{225DF2EA-5837-4545-894F-127C5D82DA9B}"/>
    <cellStyle name="Total 4 28" xfId="2836" xr:uid="{9B9D2876-E880-405D-B07F-476BCE086FE5}"/>
    <cellStyle name="Total 4 29" xfId="2882" xr:uid="{7F74EFCA-8C37-49B5-B6D6-76C1B5DDB16D}"/>
    <cellStyle name="Total 4 3" xfId="1238" xr:uid="{45878AF3-2315-4D38-8AFD-73508B85B7FC}"/>
    <cellStyle name="Total 4 30" xfId="2928" xr:uid="{0A70B413-57C4-46F3-8A6A-04382020D0E5}"/>
    <cellStyle name="Total 4 31" xfId="2977" xr:uid="{32B76853-267E-4246-9770-0025F04AFCB7}"/>
    <cellStyle name="Total 4 32" xfId="3023" xr:uid="{BABF38D6-3719-4E70-A855-258A3432693B}"/>
    <cellStyle name="Total 4 4" xfId="1314" xr:uid="{9903DB4C-6F80-4768-92C6-CE5579D5104B}"/>
    <cellStyle name="Total 4 5" xfId="1390" xr:uid="{E386F43E-EB27-4DE2-9A53-2A078917C563}"/>
    <cellStyle name="Total 4 6" xfId="1465" xr:uid="{1A74EC2C-BDAA-4393-AA71-66CB32C82A03}"/>
    <cellStyle name="Total 4 7" xfId="1541" xr:uid="{B6B36AC5-EB69-4AC2-A09F-76C109967B9E}"/>
    <cellStyle name="Total 4 8" xfId="1616" xr:uid="{2720D8AE-7753-45E8-B74C-B3A4C4E82000}"/>
    <cellStyle name="Total 4 9" xfId="1690" xr:uid="{13F79321-FA67-41C2-B0B8-D856F35C3CD2}"/>
    <cellStyle name="Total 5" xfId="650" xr:uid="{E0AF26CB-10CD-46FB-82EB-BEB1E51DE87A}"/>
    <cellStyle name="Total 5 10" xfId="1767" xr:uid="{9060720E-8C94-452F-BAD2-67AA056F67CA}"/>
    <cellStyle name="Total 5 11" xfId="1832" xr:uid="{D0196EAB-7047-4212-A0D8-AD9B62FB71D5}"/>
    <cellStyle name="Total 5 12" xfId="1898" xr:uid="{B315DE37-89F7-4F13-9F8A-CCD7CC6D8B6B}"/>
    <cellStyle name="Total 5 13" xfId="1962" xr:uid="{18C1000C-14FC-409E-B37F-3D2ECDEECCF7}"/>
    <cellStyle name="Total 5 14" xfId="2024" xr:uid="{F49C2764-6281-439F-84BD-E1C2B02B184E}"/>
    <cellStyle name="Total 5 15" xfId="2085" xr:uid="{305C64FF-26C4-4832-BD37-230FD69FB0F7}"/>
    <cellStyle name="Total 5 16" xfId="2149" xr:uid="{96BB0D3A-5125-4BF0-ACC4-3260618A448F}"/>
    <cellStyle name="Total 5 17" xfId="2210" xr:uid="{882AA5AC-D6D0-401E-8EAE-429C9C4BAD3D}"/>
    <cellStyle name="Total 5 18" xfId="2271" xr:uid="{12C8DBA5-AA3D-42D9-BAF0-B43511D5405F}"/>
    <cellStyle name="Total 5 19" xfId="2331" xr:uid="{67D9E00E-C64C-4E14-9973-7C54CFAEDD34}"/>
    <cellStyle name="Total 5 2" xfId="1163" xr:uid="{F6F85A3B-0811-4099-AFEE-98F36675CBF3}"/>
    <cellStyle name="Total 5 20" xfId="2392" xr:uid="{05C77AE7-3F25-46EB-A440-5A3BD276F122}"/>
    <cellStyle name="Total 5 21" xfId="2454" xr:uid="{4F5EA0D8-BB8D-4485-AD87-329CDF4EDBEC}"/>
    <cellStyle name="Total 5 22" xfId="2513" xr:uid="{79070BB3-E9A8-4F2D-9D14-EA3BBE1E2637}"/>
    <cellStyle name="Total 5 23" xfId="2576" xr:uid="{62B9FF25-883D-4025-8032-FE18BE092895}"/>
    <cellStyle name="Total 5 24" xfId="2635" xr:uid="{FFD732D2-6035-4101-891E-0D88735B35BF}"/>
    <cellStyle name="Total 5 25" xfId="2690" xr:uid="{6D18A950-0C13-477E-908A-7EFE70FE8F1B}"/>
    <cellStyle name="Total 5 26" xfId="2742" xr:uid="{8D3E5961-37A2-48AD-AE5A-DF092EA0A4B3}"/>
    <cellStyle name="Total 5 27" xfId="2789" xr:uid="{23DF9352-98F0-4B1E-8D0C-8F814C1F92E6}"/>
    <cellStyle name="Total 5 28" xfId="2837" xr:uid="{6B7A3E63-3647-40B4-9B1F-88ED0E04196C}"/>
    <cellStyle name="Total 5 29" xfId="2883" xr:uid="{ADDD57F5-440E-4FB0-A0D6-649ECDE72299}"/>
    <cellStyle name="Total 5 3" xfId="1239" xr:uid="{2C85D20F-5B2C-45AA-B952-D37A93065BDA}"/>
    <cellStyle name="Total 5 30" xfId="2929" xr:uid="{1001E644-0263-4CC7-A7F9-CC38A5B29FE4}"/>
    <cellStyle name="Total 5 31" xfId="2978" xr:uid="{3D17AD34-5101-42A4-A1FB-C6BE880A441D}"/>
    <cellStyle name="Total 5 32" xfId="3024" xr:uid="{503DC6F8-D676-4185-9083-B950CDDD731D}"/>
    <cellStyle name="Total 5 4" xfId="1315" xr:uid="{579D17F1-E0B0-4A7C-B35F-13FA5DBF1DE9}"/>
    <cellStyle name="Total 5 5" xfId="1391" xr:uid="{71C30CDD-9885-4CF4-895B-6E7EA5068CDD}"/>
    <cellStyle name="Total 5 6" xfId="1466" xr:uid="{D10B20D5-3513-49E9-81EF-0CEB91F38786}"/>
    <cellStyle name="Total 5 7" xfId="1542" xr:uid="{43E533E3-D221-4D66-B453-1E524AE48A30}"/>
    <cellStyle name="Total 5 8" xfId="1617" xr:uid="{4B5EF06C-77CA-4D73-A2D7-5EC3531AD837}"/>
    <cellStyle name="Total 5 9" xfId="1691" xr:uid="{AC5308BA-3F4C-4874-B945-02579102DD18}"/>
    <cellStyle name="Total 6" xfId="651" xr:uid="{D2CBA51D-1A05-415B-9748-A5AF7A71DF10}"/>
    <cellStyle name="Total 6 10" xfId="1768" xr:uid="{F9E204D9-252F-41F6-BA07-7A5D28DD933B}"/>
    <cellStyle name="Total 6 11" xfId="1833" xr:uid="{8E909270-F646-4531-968E-B56990F0DF51}"/>
    <cellStyle name="Total 6 12" xfId="1899" xr:uid="{1BCC7A78-56B3-4F3D-97AD-F9C127E7B32D}"/>
    <cellStyle name="Total 6 13" xfId="1963" xr:uid="{76DCA062-0346-4283-B9E4-0710E486D14E}"/>
    <cellStyle name="Total 6 14" xfId="2025" xr:uid="{9DDB8095-83DD-451B-A41F-160DDCE8A9A4}"/>
    <cellStyle name="Total 6 15" xfId="2086" xr:uid="{72730BDA-FD3A-4300-ADF4-833368FED5B3}"/>
    <cellStyle name="Total 6 16" xfId="2150" xr:uid="{B2D90559-389A-4100-9B9C-4A05B35E7D25}"/>
    <cellStyle name="Total 6 17" xfId="2211" xr:uid="{8E8D084C-3182-422C-948D-10487EC46E6C}"/>
    <cellStyle name="Total 6 18" xfId="2272" xr:uid="{12256C16-442B-417F-B6BB-58B787E22D6B}"/>
    <cellStyle name="Total 6 19" xfId="2332" xr:uid="{DD1481DC-A7F8-4666-9149-D83E68550725}"/>
    <cellStyle name="Total 6 2" xfId="1164" xr:uid="{5138E3E2-7C8C-4313-98C8-4278325BEF5A}"/>
    <cellStyle name="Total 6 20" xfId="2393" xr:uid="{6F1A4758-9536-469F-A1CE-AA066BF1E4AD}"/>
    <cellStyle name="Total 6 21" xfId="2455" xr:uid="{135A1F53-F9E5-4F4A-A8AD-64147CDC00EF}"/>
    <cellStyle name="Total 6 22" xfId="2514" xr:uid="{9CCCAF61-7D27-4CF6-B571-43016D58B935}"/>
    <cellStyle name="Total 6 23" xfId="2577" xr:uid="{DD77FC90-52CD-4877-9ACC-305F1A1264DF}"/>
    <cellStyle name="Total 6 24" xfId="2636" xr:uid="{D319D923-773A-4B4B-83DB-37B630F51C85}"/>
    <cellStyle name="Total 6 25" xfId="2691" xr:uid="{40A545E9-2A4A-40FE-975A-197C8A518A76}"/>
    <cellStyle name="Total 6 26" xfId="2743" xr:uid="{068AF05B-48FD-4449-94D1-2BC006875D80}"/>
    <cellStyle name="Total 6 27" xfId="2790" xr:uid="{91B54ED8-7D8B-4F53-9D3B-31A9EE4F5B3E}"/>
    <cellStyle name="Total 6 28" xfId="2838" xr:uid="{0BA8A640-0FB2-4D67-93D1-038BCB02474B}"/>
    <cellStyle name="Total 6 29" xfId="2884" xr:uid="{56C59F07-9F24-463D-90AE-A3AE9266955A}"/>
    <cellStyle name="Total 6 3" xfId="1240" xr:uid="{E7E80019-3007-41DB-A680-994B981988A2}"/>
    <cellStyle name="Total 6 30" xfId="2930" xr:uid="{57C71C90-66D3-4027-B000-4A956F35BC7C}"/>
    <cellStyle name="Total 6 31" xfId="2979" xr:uid="{ECFD9FBB-E986-4BB2-AC4F-FFC70D000A46}"/>
    <cellStyle name="Total 6 32" xfId="3025" xr:uid="{7051FBE7-9313-4637-9691-77E34B3C8BE4}"/>
    <cellStyle name="Total 6 4" xfId="1316" xr:uid="{B3E0E059-C5F9-408D-9774-052587029D23}"/>
    <cellStyle name="Total 6 5" xfId="1392" xr:uid="{63BECB5D-1515-46A2-AF4D-F8A9F11565BA}"/>
    <cellStyle name="Total 6 6" xfId="1467" xr:uid="{EBE12AAB-6B5C-4A73-8CBF-DE431E80A0E2}"/>
    <cellStyle name="Total 6 7" xfId="1543" xr:uid="{66F72CAB-D96F-42E2-83F8-6F731897C1EE}"/>
    <cellStyle name="Total 6 8" xfId="1618" xr:uid="{05DA3BF2-6CAF-4FF0-9F62-DE35A3D78D77}"/>
    <cellStyle name="Total 6 9" xfId="1692" xr:uid="{2E202344-F23D-4EA3-825E-D267F49334EF}"/>
    <cellStyle name="Total 7" xfId="652" xr:uid="{72F2190D-6B36-4984-810A-5BCF986AA29D}"/>
    <cellStyle name="Total 7 10" xfId="1769" xr:uid="{EE441D00-44AF-4F83-8D5F-28A1E1AE4450}"/>
    <cellStyle name="Total 7 11" xfId="1834" xr:uid="{73C66F1B-0621-4F27-B756-6C074F3A09CC}"/>
    <cellStyle name="Total 7 12" xfId="1900" xr:uid="{C498433E-D038-4342-89ED-9AF075B344CD}"/>
    <cellStyle name="Total 7 13" xfId="1964" xr:uid="{67F4B4AB-EEC9-437B-BEA9-9BA574E95BC1}"/>
    <cellStyle name="Total 7 14" xfId="2026" xr:uid="{9AC03642-F3ED-45F2-8936-2EB0C7233A8D}"/>
    <cellStyle name="Total 7 15" xfId="2087" xr:uid="{AD39E1CD-F3FE-4266-84FF-6F39842D1CB5}"/>
    <cellStyle name="Total 7 16" xfId="2151" xr:uid="{DFB2629C-47D4-4AAD-BE6C-DF4978AAD932}"/>
    <cellStyle name="Total 7 17" xfId="2212" xr:uid="{23FA7CE6-D64D-4C72-B1CA-CF900B953C33}"/>
    <cellStyle name="Total 7 18" xfId="2273" xr:uid="{DC9FB62A-B1B3-4582-B162-86C624052E9F}"/>
    <cellStyle name="Total 7 19" xfId="2333" xr:uid="{A704D91C-E571-4212-9A2B-5C16BF4EF1F8}"/>
    <cellStyle name="Total 7 2" xfId="1165" xr:uid="{B168DFE7-C123-4D0E-9905-586F6DF4ED2C}"/>
    <cellStyle name="Total 7 20" xfId="2394" xr:uid="{52134DFE-14F9-4C7B-9C10-FA6CB872C40E}"/>
    <cellStyle name="Total 7 21" xfId="2456" xr:uid="{692E97C7-AB72-4BDD-8D62-17448F8BFB8D}"/>
    <cellStyle name="Total 7 22" xfId="2515" xr:uid="{04B0555A-783B-437B-A5D9-D383F9BD2109}"/>
    <cellStyle name="Total 7 23" xfId="2578" xr:uid="{48994A15-8A99-4353-9A9B-CDF06F871FDE}"/>
    <cellStyle name="Total 7 24" xfId="2637" xr:uid="{2ED6FD9D-CE75-4CC2-BF0E-C48DBC9EAF3A}"/>
    <cellStyle name="Total 7 25" xfId="2692" xr:uid="{78E7D61B-AF33-4F94-9805-E35891F74E75}"/>
    <cellStyle name="Total 7 26" xfId="2744" xr:uid="{B88FEC43-E0D7-46C1-B1E6-2033075B8010}"/>
    <cellStyle name="Total 7 27" xfId="2791" xr:uid="{29818ED3-8219-4BEA-9782-A806F0349EDF}"/>
    <cellStyle name="Total 7 28" xfId="2839" xr:uid="{CE4DA786-4C31-4D08-BB50-37E1384CEBA3}"/>
    <cellStyle name="Total 7 29" xfId="2885" xr:uid="{166B3095-B59A-4AAD-95D7-7B08D8DA97D5}"/>
    <cellStyle name="Total 7 3" xfId="1241" xr:uid="{CDB21E8F-076F-4489-81D5-9394BA948300}"/>
    <cellStyle name="Total 7 30" xfId="2931" xr:uid="{4468284D-4058-422B-9886-93D0F045C345}"/>
    <cellStyle name="Total 7 31" xfId="2980" xr:uid="{10AD9E7E-64C9-434A-8FEC-79F36A18CE25}"/>
    <cellStyle name="Total 7 32" xfId="3026" xr:uid="{551D9A78-B98D-4445-971E-B2E613790E0F}"/>
    <cellStyle name="Total 7 4" xfId="1317" xr:uid="{21ED5359-9312-42BD-8DD3-BD407AF328F4}"/>
    <cellStyle name="Total 7 5" xfId="1393" xr:uid="{E25CA00B-2CD6-4FC4-B79C-D8069CB34A27}"/>
    <cellStyle name="Total 7 6" xfId="1468" xr:uid="{CC68CB90-DDF0-4B4E-9D36-93412C50D3DB}"/>
    <cellStyle name="Total 7 7" xfId="1544" xr:uid="{C5874A8A-6E5D-4519-A701-D3B2E2A953C5}"/>
    <cellStyle name="Total 7 8" xfId="1619" xr:uid="{DE05742B-DF4A-4739-A70B-275085E6727D}"/>
    <cellStyle name="Total 7 9" xfId="1693" xr:uid="{EF99B647-EDF1-4AEF-823E-0C20A62497F5}"/>
    <cellStyle name="Total 8" xfId="653" xr:uid="{2C87EC3C-D439-40DE-BD7C-89AF608E2F3E}"/>
    <cellStyle name="Total 8 10" xfId="1770" xr:uid="{399BBCCB-20ED-4124-968E-868C60F1E127}"/>
    <cellStyle name="Total 8 11" xfId="1835" xr:uid="{39766289-9F24-431D-9D59-2CFB84A1776E}"/>
    <cellStyle name="Total 8 12" xfId="1901" xr:uid="{764D7978-E29C-4CFC-A8D2-DFA6B10F68AD}"/>
    <cellStyle name="Total 8 13" xfId="1965" xr:uid="{35CEE28C-3F4C-4DD9-9072-4A2172BC2E83}"/>
    <cellStyle name="Total 8 14" xfId="2027" xr:uid="{0C94CF45-0B7B-4BA6-88A0-3233AD8EC294}"/>
    <cellStyle name="Total 8 15" xfId="2088" xr:uid="{EC3F2E7B-28FC-42CC-A730-30722A553EBF}"/>
    <cellStyle name="Total 8 16" xfId="2152" xr:uid="{8F513536-6BF9-4385-A5E5-0D5B371B2BD3}"/>
    <cellStyle name="Total 8 17" xfId="2213" xr:uid="{E12E9F71-FB3F-4A5B-AD72-567D7655D54D}"/>
    <cellStyle name="Total 8 18" xfId="2274" xr:uid="{266AFCA2-8A74-42B5-96F7-2E23DC2844D3}"/>
    <cellStyle name="Total 8 19" xfId="2334" xr:uid="{372A2BD8-AA81-45FA-A28F-6C37BED7D2A1}"/>
    <cellStyle name="Total 8 2" xfId="1166" xr:uid="{96743E67-8E36-4D33-A24F-33B11FE87515}"/>
    <cellStyle name="Total 8 20" xfId="2395" xr:uid="{0FA7AB33-C989-48C3-9A8D-98D0FF04D4D9}"/>
    <cellStyle name="Total 8 21" xfId="2457" xr:uid="{F0EC0129-864D-4CD8-A51C-D64A9268057F}"/>
    <cellStyle name="Total 8 22" xfId="2516" xr:uid="{401E2C5C-E0A1-4D1D-984E-8E1DA2C6F268}"/>
    <cellStyle name="Total 8 23" xfId="2579" xr:uid="{35FFE438-DB3E-4FAB-85CB-BBC895DBBA09}"/>
    <cellStyle name="Total 8 24" xfId="2638" xr:uid="{21C4EFA7-CF4D-4742-93E6-BFBC716F8961}"/>
    <cellStyle name="Total 8 25" xfId="2693" xr:uid="{27EC107D-312A-4137-842E-6BA6B54D225E}"/>
    <cellStyle name="Total 8 26" xfId="2745" xr:uid="{C76099A5-B579-4F07-B3FA-7FD080332B43}"/>
    <cellStyle name="Total 8 27" xfId="2792" xr:uid="{FC94F949-F8E6-4953-8DBD-C70562207D43}"/>
    <cellStyle name="Total 8 28" xfId="2840" xr:uid="{14E9BB41-860E-42BE-979C-8CF34EF4CDC1}"/>
    <cellStyle name="Total 8 29" xfId="2886" xr:uid="{8CBDA0E1-09E2-45E2-B60F-F1D0E2B06E5F}"/>
    <cellStyle name="Total 8 3" xfId="1242" xr:uid="{7A2D3494-EB63-4388-A5E8-B3C1CE75E58B}"/>
    <cellStyle name="Total 8 30" xfId="2932" xr:uid="{A16EB341-96FF-42B7-B9BE-0CA1A64AE8BE}"/>
    <cellStyle name="Total 8 31" xfId="2981" xr:uid="{20A9B78B-0422-4DB9-83DD-EA4FF9B96812}"/>
    <cellStyle name="Total 8 32" xfId="3027" xr:uid="{B7183E83-51C6-43D7-9F9A-9E00912AAE46}"/>
    <cellStyle name="Total 8 4" xfId="1318" xr:uid="{22262F5B-5D35-40FF-BC66-6C85B532CCA6}"/>
    <cellStyle name="Total 8 5" xfId="1394" xr:uid="{7D31A493-2D23-4987-BF09-B814480610C3}"/>
    <cellStyle name="Total 8 6" xfId="1469" xr:uid="{46DDBBF5-B6DE-4B91-A7C6-681BB50E57D4}"/>
    <cellStyle name="Total 8 7" xfId="1545" xr:uid="{75DF9D93-BD43-4EA5-AFDA-63127AE6A896}"/>
    <cellStyle name="Total 8 8" xfId="1620" xr:uid="{9668EA31-2F48-4D07-80EC-6CF11BCB6E31}"/>
    <cellStyle name="Total 8 9" xfId="1694" xr:uid="{B25BFE01-65C1-4B47-84F6-A914E3CA497A}"/>
    <cellStyle name="Total 9" xfId="654" xr:uid="{C5FC4969-D667-4DE2-9D11-EB69B5ED9EFF}"/>
    <cellStyle name="Total 9 10" xfId="1771" xr:uid="{FA10C051-E699-4DE4-AB33-7A95D7B0DC5E}"/>
    <cellStyle name="Total 9 11" xfId="1836" xr:uid="{E7A15EFC-E885-4041-B1EA-425F2DFE2DED}"/>
    <cellStyle name="Total 9 12" xfId="1902" xr:uid="{5B51CD60-8BE8-4E4B-9DE7-D5815EC1D62F}"/>
    <cellStyle name="Total 9 13" xfId="1966" xr:uid="{295D2357-E9AB-480F-880E-E6E46050E1AD}"/>
    <cellStyle name="Total 9 14" xfId="2028" xr:uid="{BA152C9C-3CDA-4DC0-9D83-2FE041EFAEA2}"/>
    <cellStyle name="Total 9 15" xfId="2089" xr:uid="{C1B5A614-156A-44EE-9376-AE6CD815CDAD}"/>
    <cellStyle name="Total 9 16" xfId="2153" xr:uid="{7CFBACFF-1A92-4E13-914D-098C5D640B27}"/>
    <cellStyle name="Total 9 17" xfId="2214" xr:uid="{4E42CD7B-6143-4549-B8DF-9059E8FEFE73}"/>
    <cellStyle name="Total 9 18" xfId="2275" xr:uid="{D70A7A1E-11B8-4856-8277-A00F81494F3C}"/>
    <cellStyle name="Total 9 19" xfId="2335" xr:uid="{31BBA045-D6D4-4D56-B5E8-152746F69C01}"/>
    <cellStyle name="Total 9 2" xfId="1167" xr:uid="{B49593D9-83A0-4FAB-9299-3CDE8E3BA299}"/>
    <cellStyle name="Total 9 20" xfId="2396" xr:uid="{C90FFF3A-D7BF-4D82-BF3D-B526CEABCB4F}"/>
    <cellStyle name="Total 9 21" xfId="2458" xr:uid="{9A8D2CEE-07B3-4FFF-99AA-2F4B14EDE9D3}"/>
    <cellStyle name="Total 9 22" xfId="2517" xr:uid="{50B21E3E-0EBD-4BB6-8653-9943FCADF854}"/>
    <cellStyle name="Total 9 23" xfId="2580" xr:uid="{AED3DE36-965D-4E7A-A858-BE8C0B3C6DC2}"/>
    <cellStyle name="Total 9 24" xfId="2639" xr:uid="{DB263847-DC03-443C-8650-CCB3E0858967}"/>
    <cellStyle name="Total 9 25" xfId="2694" xr:uid="{CBD38953-F937-4941-8433-CCE9FBD71C06}"/>
    <cellStyle name="Total 9 26" xfId="2746" xr:uid="{60A3C5D4-063E-4927-A866-A2A6441A57BA}"/>
    <cellStyle name="Total 9 27" xfId="2793" xr:uid="{4DB0F7AA-1070-49D8-8688-78E6933C772E}"/>
    <cellStyle name="Total 9 28" xfId="2841" xr:uid="{6E83E257-34F6-4BA9-A229-B8A695701757}"/>
    <cellStyle name="Total 9 29" xfId="2887" xr:uid="{73E52E3A-1618-412F-9631-E841AB196AEC}"/>
    <cellStyle name="Total 9 3" xfId="1243" xr:uid="{4261B204-80B2-44B5-8D0C-7BF8FA31935F}"/>
    <cellStyle name="Total 9 30" xfId="2933" xr:uid="{17ED8E68-5641-477D-83C7-E4D2FB424D30}"/>
    <cellStyle name="Total 9 31" xfId="2982" xr:uid="{07DE1E91-A447-4C93-87C6-65BFA6671EF8}"/>
    <cellStyle name="Total 9 32" xfId="3028" xr:uid="{0AEE45FF-2746-4847-91B0-8F2BDC71B2A7}"/>
    <cellStyle name="Total 9 4" xfId="1319" xr:uid="{6E15073B-373E-49A8-8501-2B818DE75D01}"/>
    <cellStyle name="Total 9 5" xfId="1395" xr:uid="{7344F6E1-750F-4931-9E0E-6FE9FB277A3C}"/>
    <cellStyle name="Total 9 6" xfId="1470" xr:uid="{33F9C604-DD63-479B-9CF7-68195DFDFBF3}"/>
    <cellStyle name="Total 9 7" xfId="1546" xr:uid="{8E649C54-7487-4E8C-88D4-8721552F22DD}"/>
    <cellStyle name="Total 9 8" xfId="1621" xr:uid="{F0312B1A-3B20-4AAE-8294-CB817280715B}"/>
    <cellStyle name="Total 9 9" xfId="1695" xr:uid="{C167B8C0-FE67-426E-B42C-0BB7EB57FA1B}"/>
    <cellStyle name="Warning Text 10" xfId="655" xr:uid="{BA09240F-1D09-46C9-8A1B-C9AC9D4565E5}"/>
    <cellStyle name="Warning Text 11" xfId="656" xr:uid="{72154107-F2E9-4969-BA86-25AAAE72AF5E}"/>
    <cellStyle name="Warning Text 12" xfId="657" xr:uid="{32CA8921-4ADB-433A-88BF-6571A49821FA}"/>
    <cellStyle name="Warning Text 13" xfId="658" xr:uid="{4C437B58-8DAE-4166-AA36-E715BA45242E}"/>
    <cellStyle name="Warning Text 14" xfId="659" xr:uid="{D6A6EA63-45DA-4132-B14A-D187EB68321C}"/>
    <cellStyle name="Warning Text 15" xfId="660" xr:uid="{48D2050B-94A3-432C-9AB1-30103B27352A}"/>
    <cellStyle name="Warning Text 16" xfId="661" xr:uid="{90778CF9-6698-42AC-9FF3-81BD3CCAA49B}"/>
    <cellStyle name="Warning Text 2" xfId="662" xr:uid="{B9C97198-BD5D-46F8-9F7D-01D3FFF482CD}"/>
    <cellStyle name="Warning Text 3" xfId="663" xr:uid="{93AEC046-7A4E-4557-A98B-68076D9ECF52}"/>
    <cellStyle name="Warning Text 4" xfId="664" xr:uid="{4EBA981C-7AD8-4562-AA5D-6FEA4BEEEEEF}"/>
    <cellStyle name="Warning Text 5" xfId="665" xr:uid="{18EFAA97-1174-4DB0-B599-4F641FEFDBC1}"/>
    <cellStyle name="Warning Text 6" xfId="666" xr:uid="{42A8DD20-8A22-4854-8605-F7988EC1F7CE}"/>
    <cellStyle name="Warning Text 7" xfId="667" xr:uid="{3DC07474-AECE-43C2-A4E0-EC1E31EA4F7A}"/>
    <cellStyle name="Warning Text 8" xfId="668" xr:uid="{BD775C6C-F260-408E-B139-6EDF5F8F83AF}"/>
    <cellStyle name="Warning Text 9" xfId="669" xr:uid="{503808CC-6868-43E1-A46C-7ACC20FDD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C790-9AE4-4E34-8AB5-C11F6DB95162}">
  <dimension ref="A1:L81"/>
  <sheetViews>
    <sheetView tabSelected="1" zoomScale="85" zoomScaleNormal="85" workbookViewId="0">
      <selection activeCell="C18" sqref="C18"/>
    </sheetView>
  </sheetViews>
  <sheetFormatPr defaultRowHeight="14.5" x14ac:dyDescent="0.35"/>
  <cols>
    <col min="1" max="1" width="41.453125" bestFit="1" customWidth="1"/>
    <col min="2" max="2" width="12.36328125" customWidth="1"/>
    <col min="3" max="3" width="29.36328125" style="3" customWidth="1"/>
    <col min="4" max="4" width="14.6328125" customWidth="1"/>
    <col min="5" max="5" width="11.81640625" customWidth="1"/>
    <col min="6" max="6" width="14.81640625" customWidth="1"/>
    <col min="7" max="7" width="15.453125" customWidth="1"/>
    <col min="8" max="8" width="11.26953125" customWidth="1"/>
    <col min="9" max="9" width="10.6328125" style="9" customWidth="1"/>
  </cols>
  <sheetData>
    <row r="1" spans="1:9" ht="26" x14ac:dyDescent="0.6">
      <c r="A1" s="21" t="s">
        <v>85</v>
      </c>
    </row>
    <row r="2" spans="1:9" x14ac:dyDescent="0.35">
      <c r="A2" s="1" t="s">
        <v>0</v>
      </c>
      <c r="B2" s="2" t="s">
        <v>1</v>
      </c>
      <c r="C2" s="4" t="s">
        <v>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2" t="s">
        <v>7</v>
      </c>
    </row>
    <row r="3" spans="1:9" x14ac:dyDescent="0.35">
      <c r="A3" s="6" t="s">
        <v>48</v>
      </c>
      <c r="B3" s="6"/>
      <c r="C3" s="3" t="s">
        <v>18</v>
      </c>
      <c r="D3" s="3">
        <v>4</v>
      </c>
      <c r="E3" s="3">
        <v>3.5</v>
      </c>
      <c r="F3" s="3">
        <v>38</v>
      </c>
      <c r="G3" s="3">
        <v>27</v>
      </c>
      <c r="H3" s="3">
        <v>20</v>
      </c>
      <c r="I3" s="11">
        <v>0.02</v>
      </c>
    </row>
    <row r="4" spans="1:9" x14ac:dyDescent="0.35">
      <c r="A4" s="6" t="s">
        <v>48</v>
      </c>
      <c r="B4" s="6"/>
      <c r="C4" s="3" t="s">
        <v>19</v>
      </c>
      <c r="D4" s="3">
        <v>8</v>
      </c>
      <c r="E4" s="3">
        <v>7.4</v>
      </c>
      <c r="F4" s="3">
        <v>57.5</v>
      </c>
      <c r="G4" s="3">
        <v>25</v>
      </c>
      <c r="H4" s="3">
        <v>27.5</v>
      </c>
      <c r="I4" s="11">
        <v>0.04</v>
      </c>
    </row>
    <row r="5" spans="1:9" x14ac:dyDescent="0.35">
      <c r="A5" s="6" t="s">
        <v>48</v>
      </c>
      <c r="B5" s="6"/>
      <c r="C5" s="3" t="s">
        <v>50</v>
      </c>
      <c r="D5" s="3">
        <v>13</v>
      </c>
      <c r="E5" s="3">
        <v>12</v>
      </c>
      <c r="F5" s="3">
        <v>38</v>
      </c>
      <c r="G5" s="3">
        <v>32</v>
      </c>
      <c r="H5" s="3">
        <v>54</v>
      </c>
      <c r="I5" s="11">
        <v>7.0000000000000007E-2</v>
      </c>
    </row>
    <row r="6" spans="1:9" x14ac:dyDescent="0.35">
      <c r="A6" s="6" t="s">
        <v>48</v>
      </c>
      <c r="B6" s="6"/>
      <c r="C6" s="3" t="s">
        <v>11</v>
      </c>
      <c r="D6" s="3">
        <v>15.8</v>
      </c>
      <c r="E6" s="3">
        <v>14.7</v>
      </c>
      <c r="F6" s="3">
        <v>40</v>
      </c>
      <c r="G6" s="3">
        <v>39</v>
      </c>
      <c r="H6" s="3">
        <v>54</v>
      </c>
      <c r="I6" s="11">
        <v>0.09</v>
      </c>
    </row>
    <row r="7" spans="1:9" x14ac:dyDescent="0.35">
      <c r="A7" s="6" t="s">
        <v>48</v>
      </c>
      <c r="B7" s="6"/>
      <c r="C7" s="3" t="s">
        <v>9</v>
      </c>
      <c r="D7" s="3">
        <v>16.5</v>
      </c>
      <c r="E7" s="3">
        <v>15.5</v>
      </c>
      <c r="F7" s="3">
        <v>46.5</v>
      </c>
      <c r="G7" s="3">
        <v>32.5</v>
      </c>
      <c r="H7" s="3">
        <v>53.5</v>
      </c>
      <c r="I7" s="11">
        <v>0.08</v>
      </c>
    </row>
    <row r="8" spans="1:9" x14ac:dyDescent="0.35">
      <c r="A8" s="6" t="s">
        <v>49</v>
      </c>
      <c r="B8" s="6"/>
      <c r="C8" s="3" t="s">
        <v>18</v>
      </c>
      <c r="D8" s="3">
        <v>9</v>
      </c>
      <c r="E8" s="3">
        <v>8.1999999999999993</v>
      </c>
      <c r="F8" s="3">
        <v>36</v>
      </c>
      <c r="G8" s="3">
        <v>30</v>
      </c>
      <c r="H8" s="3">
        <v>44</v>
      </c>
      <c r="I8" s="11">
        <v>0.05</v>
      </c>
    </row>
    <row r="9" spans="1:9" x14ac:dyDescent="0.35">
      <c r="A9" s="6" t="s">
        <v>49</v>
      </c>
      <c r="B9" s="6"/>
      <c r="C9" s="3" t="s">
        <v>51</v>
      </c>
      <c r="D9" s="3">
        <v>15</v>
      </c>
      <c r="E9" s="3">
        <v>14.1</v>
      </c>
      <c r="F9" s="3">
        <v>45.1</v>
      </c>
      <c r="G9" s="3">
        <v>36.5</v>
      </c>
      <c r="H9" s="3">
        <v>44.5</v>
      </c>
      <c r="I9" s="11">
        <v>7.0000000000000007E-2</v>
      </c>
    </row>
    <row r="10" spans="1:9" x14ac:dyDescent="0.35">
      <c r="A10" s="6" t="s">
        <v>49</v>
      </c>
      <c r="B10" s="6"/>
      <c r="C10" s="3" t="s">
        <v>19</v>
      </c>
      <c r="D10" s="3">
        <v>16.5</v>
      </c>
      <c r="E10" s="3">
        <v>15.3</v>
      </c>
      <c r="F10" s="3">
        <v>60</v>
      </c>
      <c r="G10" s="3">
        <v>36</v>
      </c>
      <c r="H10" s="3">
        <v>45</v>
      </c>
      <c r="I10" s="11">
        <v>0.1</v>
      </c>
    </row>
    <row r="11" spans="1:9" x14ac:dyDescent="0.35">
      <c r="A11" s="6" t="s">
        <v>92</v>
      </c>
      <c r="B11" s="6"/>
      <c r="C11" s="3" t="s">
        <v>9</v>
      </c>
      <c r="D11" s="3">
        <v>16.5</v>
      </c>
      <c r="E11" s="3">
        <v>15.5</v>
      </c>
      <c r="F11" s="3">
        <v>46.5</v>
      </c>
      <c r="G11" s="3">
        <v>32.5</v>
      </c>
      <c r="H11" s="3">
        <v>53.5</v>
      </c>
      <c r="I11" s="11">
        <v>8.0851875000000004E-2</v>
      </c>
    </row>
    <row r="12" spans="1:9" x14ac:dyDescent="0.35">
      <c r="A12" s="6" t="s">
        <v>10</v>
      </c>
      <c r="B12" s="6"/>
      <c r="C12" s="3" t="s">
        <v>11</v>
      </c>
      <c r="D12" s="3">
        <v>10.3</v>
      </c>
      <c r="E12" s="3">
        <v>9.6</v>
      </c>
      <c r="F12" s="3">
        <v>49</v>
      </c>
      <c r="G12" s="3">
        <v>27</v>
      </c>
      <c r="H12" s="3">
        <v>45</v>
      </c>
      <c r="I12" s="8">
        <v>0.06</v>
      </c>
    </row>
    <row r="13" spans="1:9" x14ac:dyDescent="0.35">
      <c r="A13" s="6" t="s">
        <v>13</v>
      </c>
      <c r="B13" s="6"/>
      <c r="C13" s="3" t="s">
        <v>11</v>
      </c>
      <c r="D13" s="3">
        <v>10.3</v>
      </c>
      <c r="E13" s="3">
        <v>9.6</v>
      </c>
      <c r="F13" s="3">
        <v>49</v>
      </c>
      <c r="G13" s="3">
        <v>27</v>
      </c>
      <c r="H13" s="3">
        <v>45</v>
      </c>
      <c r="I13" s="8" t="s">
        <v>12</v>
      </c>
    </row>
    <row r="14" spans="1:9" x14ac:dyDescent="0.35">
      <c r="A14" s="6" t="s">
        <v>14</v>
      </c>
      <c r="B14" s="6"/>
      <c r="C14" s="3" t="s">
        <v>15</v>
      </c>
      <c r="D14" s="3">
        <v>13.8</v>
      </c>
      <c r="E14" s="3">
        <v>12.8</v>
      </c>
      <c r="F14" s="3">
        <v>58.5</v>
      </c>
      <c r="G14" s="3">
        <v>31</v>
      </c>
      <c r="H14" s="3">
        <v>51.2</v>
      </c>
      <c r="I14" s="11">
        <v>9.2851200000000009E-2</v>
      </c>
    </row>
    <row r="15" spans="1:9" x14ac:dyDescent="0.35">
      <c r="A15" s="6" t="s">
        <v>16</v>
      </c>
      <c r="B15" s="6"/>
      <c r="C15" s="3" t="s">
        <v>15</v>
      </c>
      <c r="D15" s="3">
        <v>13.8</v>
      </c>
      <c r="E15" s="3">
        <v>12.8</v>
      </c>
      <c r="F15" s="3">
        <v>58.5</v>
      </c>
      <c r="G15" s="3">
        <v>31</v>
      </c>
      <c r="H15" s="3">
        <v>51.2</v>
      </c>
      <c r="I15" s="11">
        <v>9.2851200000000009E-2</v>
      </c>
    </row>
    <row r="16" spans="1:9" x14ac:dyDescent="0.35">
      <c r="A16" s="6" t="s">
        <v>17</v>
      </c>
      <c r="B16" s="6"/>
      <c r="C16" s="3" t="s">
        <v>18</v>
      </c>
      <c r="D16" s="3">
        <v>20.55</v>
      </c>
      <c r="E16" s="3">
        <v>17.8</v>
      </c>
      <c r="F16" s="3">
        <v>24.5</v>
      </c>
      <c r="G16" s="3">
        <v>49.5</v>
      </c>
      <c r="H16" s="3">
        <v>49.5</v>
      </c>
      <c r="I16" s="11">
        <v>0.06</v>
      </c>
    </row>
    <row r="17" spans="1:12" x14ac:dyDescent="0.35">
      <c r="A17" s="6" t="s">
        <v>96</v>
      </c>
      <c r="B17" s="6"/>
      <c r="C17" s="3" t="s">
        <v>43</v>
      </c>
      <c r="D17" s="3">
        <v>12</v>
      </c>
      <c r="E17" s="3">
        <v>10</v>
      </c>
      <c r="F17" s="3">
        <v>32.4</v>
      </c>
      <c r="G17" s="3">
        <v>15</v>
      </c>
      <c r="H17" s="3">
        <v>32</v>
      </c>
      <c r="I17" s="11">
        <v>1.6E-2</v>
      </c>
    </row>
    <row r="18" spans="1:12" x14ac:dyDescent="0.35">
      <c r="A18" s="6" t="s">
        <v>20</v>
      </c>
      <c r="B18" s="6"/>
      <c r="C18" s="3" t="s">
        <v>19</v>
      </c>
      <c r="D18" s="3">
        <v>15</v>
      </c>
      <c r="E18" s="3">
        <v>14.15</v>
      </c>
      <c r="F18" s="3">
        <v>41</v>
      </c>
      <c r="G18" s="3">
        <v>30</v>
      </c>
      <c r="H18" s="3">
        <v>45.5</v>
      </c>
      <c r="I18" s="11">
        <v>5.5E-2</v>
      </c>
    </row>
    <row r="19" spans="1:12" x14ac:dyDescent="0.35">
      <c r="A19" s="6" t="s">
        <v>22</v>
      </c>
      <c r="B19" s="6"/>
      <c r="C19" s="3" t="s">
        <v>19</v>
      </c>
      <c r="D19" s="3">
        <v>7</v>
      </c>
      <c r="E19" s="3">
        <v>6</v>
      </c>
      <c r="F19" s="3">
        <v>29</v>
      </c>
      <c r="G19" s="3">
        <v>24.5</v>
      </c>
      <c r="H19" s="3">
        <v>16</v>
      </c>
      <c r="I19" s="11">
        <v>1.1368E-2</v>
      </c>
    </row>
    <row r="20" spans="1:12" x14ac:dyDescent="0.35">
      <c r="A20" s="6" t="s">
        <v>21</v>
      </c>
      <c r="B20" s="6"/>
      <c r="C20" s="3" t="s">
        <v>18</v>
      </c>
      <c r="D20" s="3">
        <v>9.6</v>
      </c>
      <c r="E20" s="3">
        <v>8.85</v>
      </c>
      <c r="F20" s="3">
        <v>31.5</v>
      </c>
      <c r="G20" s="3">
        <v>27.5</v>
      </c>
      <c r="H20" s="3">
        <v>45</v>
      </c>
      <c r="I20" s="11">
        <v>0.04</v>
      </c>
      <c r="J20" s="3"/>
    </row>
    <row r="21" spans="1:12" x14ac:dyDescent="0.35">
      <c r="A21" s="5" t="s">
        <v>93</v>
      </c>
      <c r="B21" s="5"/>
      <c r="C21" s="3" t="s">
        <v>23</v>
      </c>
      <c r="D21" s="3">
        <v>6.5</v>
      </c>
      <c r="E21" s="3">
        <v>5</v>
      </c>
      <c r="F21" s="3">
        <v>33.5</v>
      </c>
      <c r="G21" s="3">
        <v>29</v>
      </c>
      <c r="H21" s="3">
        <v>32</v>
      </c>
      <c r="I21" s="11">
        <v>3.1088000000000001E-2</v>
      </c>
      <c r="J21" s="3"/>
    </row>
    <row r="22" spans="1:12" x14ac:dyDescent="0.35">
      <c r="A22" s="5" t="s">
        <v>24</v>
      </c>
      <c r="B22" s="5"/>
      <c r="C22" s="3" t="s">
        <v>25</v>
      </c>
      <c r="D22" s="3">
        <v>8.3000000000000007</v>
      </c>
      <c r="E22" s="3">
        <v>7.5</v>
      </c>
      <c r="F22" s="3">
        <v>38</v>
      </c>
      <c r="G22" s="3">
        <v>33.5</v>
      </c>
      <c r="H22" s="3">
        <v>28.5</v>
      </c>
      <c r="I22" s="11">
        <v>3.5999999999999997E-2</v>
      </c>
      <c r="J22" s="3"/>
    </row>
    <row r="23" spans="1:12" x14ac:dyDescent="0.35">
      <c r="A23" s="5" t="s">
        <v>24</v>
      </c>
      <c r="B23" s="5"/>
      <c r="C23" s="3" t="s">
        <v>26</v>
      </c>
      <c r="D23" s="3">
        <v>10.4</v>
      </c>
      <c r="E23" s="3">
        <v>9.3000000000000007</v>
      </c>
      <c r="F23" s="3">
        <v>34.5</v>
      </c>
      <c r="G23" s="3">
        <v>26.5</v>
      </c>
      <c r="H23" s="3">
        <v>48</v>
      </c>
      <c r="I23" s="11">
        <v>4.3999999999999997E-2</v>
      </c>
      <c r="J23" s="3"/>
    </row>
    <row r="24" spans="1:12" x14ac:dyDescent="0.35">
      <c r="A24" s="5" t="s">
        <v>27</v>
      </c>
      <c r="B24" s="5"/>
      <c r="C24" s="3" t="s">
        <v>11</v>
      </c>
      <c r="D24" s="3">
        <v>29.4</v>
      </c>
      <c r="E24" s="3">
        <v>28</v>
      </c>
      <c r="F24" s="3">
        <v>45</v>
      </c>
      <c r="G24" s="3">
        <v>41</v>
      </c>
      <c r="H24" s="3">
        <v>54</v>
      </c>
      <c r="I24" s="11">
        <v>9.9629999999999996E-2</v>
      </c>
      <c r="J24" s="3"/>
    </row>
    <row r="25" spans="1:12" x14ac:dyDescent="0.35">
      <c r="A25" s="5" t="s">
        <v>27</v>
      </c>
      <c r="B25" s="5"/>
      <c r="C25" s="3" t="s">
        <v>28</v>
      </c>
      <c r="D25" s="3">
        <v>27</v>
      </c>
      <c r="E25" s="3">
        <v>25.3</v>
      </c>
      <c r="F25" s="3">
        <v>61.5</v>
      </c>
      <c r="G25" s="3">
        <v>46</v>
      </c>
      <c r="H25" s="3">
        <v>35</v>
      </c>
      <c r="I25" s="11">
        <v>9.9015000000000006E-2</v>
      </c>
      <c r="J25" s="3"/>
    </row>
    <row r="26" spans="1:12" x14ac:dyDescent="0.35">
      <c r="A26" s="5" t="s">
        <v>29</v>
      </c>
      <c r="B26" s="5"/>
      <c r="C26" s="3" t="s">
        <v>19</v>
      </c>
      <c r="D26" s="3">
        <v>20</v>
      </c>
      <c r="E26" s="3">
        <v>19</v>
      </c>
      <c r="F26" s="3">
        <v>42.5</v>
      </c>
      <c r="G26" s="3">
        <v>32</v>
      </c>
      <c r="H26" s="3">
        <v>49</v>
      </c>
      <c r="I26" s="11">
        <v>6.6640000000000005E-2</v>
      </c>
      <c r="J26" s="3"/>
    </row>
    <row r="27" spans="1:12" x14ac:dyDescent="0.35">
      <c r="A27" s="5" t="s">
        <v>30</v>
      </c>
      <c r="B27" s="5"/>
      <c r="C27" s="3" t="s">
        <v>31</v>
      </c>
      <c r="D27" s="3">
        <v>12.75</v>
      </c>
      <c r="E27" s="3">
        <v>11.2</v>
      </c>
      <c r="F27" s="3">
        <v>37.5</v>
      </c>
      <c r="G27" s="3">
        <v>28.2</v>
      </c>
      <c r="H27" s="3">
        <v>34.799999999999997</v>
      </c>
      <c r="I27" s="11">
        <v>3.6801E-2</v>
      </c>
      <c r="J27" s="3"/>
    </row>
    <row r="28" spans="1:12" x14ac:dyDescent="0.35">
      <c r="A28" s="5" t="s">
        <v>32</v>
      </c>
      <c r="B28" s="5"/>
      <c r="C28" s="3" t="s">
        <v>15</v>
      </c>
      <c r="D28" s="3">
        <v>13.8</v>
      </c>
      <c r="E28" s="3">
        <v>12.8</v>
      </c>
      <c r="F28" s="3">
        <v>58.5</v>
      </c>
      <c r="G28" s="3">
        <v>31</v>
      </c>
      <c r="H28" s="3">
        <v>51.2</v>
      </c>
      <c r="I28" s="11">
        <v>9.2851200000000009E-2</v>
      </c>
      <c r="J28" s="3"/>
    </row>
    <row r="29" spans="1:12" x14ac:dyDescent="0.35">
      <c r="A29" s="5" t="s">
        <v>33</v>
      </c>
      <c r="B29" s="5"/>
      <c r="C29" s="7" t="s">
        <v>11</v>
      </c>
      <c r="D29" s="7">
        <v>13.5</v>
      </c>
      <c r="E29" s="7">
        <v>12.4</v>
      </c>
      <c r="F29" s="7">
        <v>47.5</v>
      </c>
      <c r="G29" s="7">
        <v>44.3</v>
      </c>
      <c r="H29" s="7">
        <v>32.5</v>
      </c>
      <c r="I29" s="10">
        <v>7.0000000000000007E-2</v>
      </c>
      <c r="J29" s="5"/>
      <c r="K29" s="5"/>
      <c r="L29" s="5"/>
    </row>
    <row r="30" spans="1:12" x14ac:dyDescent="0.35">
      <c r="A30" s="5" t="s">
        <v>34</v>
      </c>
      <c r="B30" s="5"/>
      <c r="C30" s="7" t="s">
        <v>35</v>
      </c>
      <c r="D30" s="7">
        <v>15.3</v>
      </c>
      <c r="E30" s="7">
        <v>13.95</v>
      </c>
      <c r="F30" s="7"/>
      <c r="G30" s="7"/>
      <c r="H30" s="7"/>
      <c r="I30" s="10"/>
      <c r="J30" s="5"/>
      <c r="K30" s="5"/>
      <c r="L30" s="5"/>
    </row>
    <row r="31" spans="1:12" x14ac:dyDescent="0.35">
      <c r="A31" s="5" t="s">
        <v>36</v>
      </c>
      <c r="B31" s="5"/>
      <c r="C31" s="7" t="s">
        <v>37</v>
      </c>
      <c r="D31" s="7">
        <v>11</v>
      </c>
      <c r="E31" s="7">
        <v>10</v>
      </c>
      <c r="F31" s="7">
        <v>41.5</v>
      </c>
      <c r="G31" s="7">
        <v>27.5</v>
      </c>
      <c r="H31" s="7">
        <v>21</v>
      </c>
      <c r="I31" s="10">
        <v>2.3966250000000001E-2</v>
      </c>
      <c r="J31" s="5"/>
      <c r="K31" s="5"/>
      <c r="L31" s="5"/>
    </row>
    <row r="32" spans="1:12" x14ac:dyDescent="0.35">
      <c r="A32" s="6" t="s">
        <v>38</v>
      </c>
      <c r="B32" s="6"/>
      <c r="C32" s="3" t="s">
        <v>11</v>
      </c>
      <c r="D32" s="3">
        <v>15</v>
      </c>
      <c r="E32" s="3">
        <v>14</v>
      </c>
      <c r="F32" s="3">
        <v>63</v>
      </c>
      <c r="G32" s="3">
        <v>32</v>
      </c>
      <c r="H32" s="3">
        <v>41</v>
      </c>
      <c r="I32" s="11">
        <v>8.2655999999999993E-2</v>
      </c>
    </row>
    <row r="33" spans="1:10" x14ac:dyDescent="0.35">
      <c r="A33" s="6" t="s">
        <v>39</v>
      </c>
      <c r="B33" s="6"/>
      <c r="C33" s="3" t="s">
        <v>40</v>
      </c>
      <c r="D33" s="3">
        <v>10.5</v>
      </c>
      <c r="E33" s="3">
        <v>9.6999999999999993</v>
      </c>
      <c r="F33" s="3">
        <v>37.5</v>
      </c>
      <c r="G33" s="3">
        <v>30.5</v>
      </c>
      <c r="H33" s="3">
        <v>46</v>
      </c>
      <c r="I33" s="11">
        <v>5.2999999999999999E-2</v>
      </c>
    </row>
    <row r="34" spans="1:10" x14ac:dyDescent="0.35">
      <c r="A34" s="6" t="s">
        <v>41</v>
      </c>
      <c r="B34" s="6"/>
      <c r="C34" s="3" t="s">
        <v>18</v>
      </c>
      <c r="D34" s="3">
        <v>10.72</v>
      </c>
      <c r="E34" s="3">
        <v>9.7200000000000006</v>
      </c>
      <c r="F34" s="3">
        <v>28</v>
      </c>
      <c r="G34" s="3">
        <v>28</v>
      </c>
      <c r="H34" s="3">
        <v>34.5</v>
      </c>
      <c r="I34" s="11">
        <v>2.7047999999999999E-2</v>
      </c>
    </row>
    <row r="35" spans="1:10" x14ac:dyDescent="0.35">
      <c r="A35" s="6" t="s">
        <v>42</v>
      </c>
      <c r="B35" s="6"/>
      <c r="C35" s="3" t="s">
        <v>43</v>
      </c>
      <c r="D35" s="3">
        <v>13</v>
      </c>
      <c r="E35" s="3">
        <v>11</v>
      </c>
      <c r="F35" s="3">
        <v>35</v>
      </c>
      <c r="G35" s="3">
        <v>22</v>
      </c>
      <c r="H35" s="3">
        <v>39</v>
      </c>
      <c r="I35" s="11">
        <v>0.03</v>
      </c>
    </row>
    <row r="36" spans="1:10" x14ac:dyDescent="0.35">
      <c r="A36" s="6" t="s">
        <v>44</v>
      </c>
      <c r="B36" s="6"/>
      <c r="C36" s="3" t="s">
        <v>18</v>
      </c>
      <c r="D36" s="3">
        <v>11.4</v>
      </c>
      <c r="E36" s="3">
        <v>11</v>
      </c>
      <c r="F36" s="3">
        <v>37.5</v>
      </c>
      <c r="G36" s="3">
        <v>28.2</v>
      </c>
      <c r="H36" s="3">
        <v>34.799999999999997</v>
      </c>
      <c r="I36" s="11">
        <v>3.6801E-2</v>
      </c>
    </row>
    <row r="37" spans="1:10" x14ac:dyDescent="0.35">
      <c r="A37" s="6" t="s">
        <v>45</v>
      </c>
      <c r="B37" s="6"/>
      <c r="C37" s="3" t="s">
        <v>47</v>
      </c>
      <c r="D37" s="3">
        <v>23</v>
      </c>
      <c r="E37" s="3">
        <v>21.5</v>
      </c>
      <c r="F37" s="3">
        <v>41.5</v>
      </c>
      <c r="G37" s="3">
        <v>41.5</v>
      </c>
      <c r="H37" s="3">
        <v>54.7</v>
      </c>
      <c r="I37" s="11">
        <v>9.4207075000000001E-2</v>
      </c>
    </row>
    <row r="38" spans="1:10" x14ac:dyDescent="0.35">
      <c r="A38" s="6" t="s">
        <v>46</v>
      </c>
      <c r="B38" s="6"/>
      <c r="C38" s="3" t="s">
        <v>19</v>
      </c>
      <c r="D38" s="3">
        <v>24</v>
      </c>
      <c r="E38" s="3">
        <v>23</v>
      </c>
      <c r="F38" s="3">
        <v>51.5</v>
      </c>
      <c r="G38" s="3">
        <v>33.5</v>
      </c>
      <c r="H38" s="3">
        <v>60</v>
      </c>
      <c r="I38" s="11">
        <v>0.104</v>
      </c>
    </row>
    <row r="39" spans="1:10" x14ac:dyDescent="0.35">
      <c r="C39"/>
    </row>
    <row r="40" spans="1:10" ht="23" x14ac:dyDescent="0.35">
      <c r="A40" s="15" t="s">
        <v>67</v>
      </c>
      <c r="C40"/>
    </row>
    <row r="41" spans="1:10" x14ac:dyDescent="0.35">
      <c r="A41" s="1" t="s">
        <v>0</v>
      </c>
      <c r="B41" s="2" t="s">
        <v>1</v>
      </c>
      <c r="C41" s="4" t="s">
        <v>8</v>
      </c>
      <c r="D41" s="13" t="s">
        <v>2</v>
      </c>
      <c r="E41" s="13" t="s">
        <v>3</v>
      </c>
      <c r="F41" s="13" t="s">
        <v>4</v>
      </c>
      <c r="G41" s="13" t="s">
        <v>5</v>
      </c>
      <c r="H41" s="13" t="s">
        <v>6</v>
      </c>
      <c r="I41" s="12" t="s">
        <v>7</v>
      </c>
    </row>
    <row r="42" spans="1:10" x14ac:dyDescent="0.35">
      <c r="A42" s="5" t="s">
        <v>52</v>
      </c>
      <c r="B42" s="5"/>
      <c r="C42" s="7" t="s">
        <v>35</v>
      </c>
      <c r="D42" s="3"/>
      <c r="E42" s="3"/>
      <c r="F42" s="3">
        <v>50.9</v>
      </c>
      <c r="G42" s="3">
        <v>39.6</v>
      </c>
      <c r="H42" s="3">
        <v>60</v>
      </c>
      <c r="I42" s="11">
        <v>0.12093840000000002</v>
      </c>
      <c r="J42" s="5"/>
    </row>
    <row r="43" spans="1:10" x14ac:dyDescent="0.35">
      <c r="A43" s="5" t="s">
        <v>53</v>
      </c>
      <c r="B43" s="5"/>
      <c r="C43" s="7" t="s">
        <v>35</v>
      </c>
      <c r="D43" s="3">
        <v>27</v>
      </c>
      <c r="E43" s="3">
        <v>24</v>
      </c>
      <c r="F43" s="3">
        <v>55</v>
      </c>
      <c r="G43" s="3">
        <v>33</v>
      </c>
      <c r="H43" s="3">
        <v>70</v>
      </c>
      <c r="I43" s="11">
        <v>0.12705</v>
      </c>
      <c r="J43" s="5"/>
    </row>
    <row r="44" spans="1:10" x14ac:dyDescent="0.35">
      <c r="A44" s="5" t="s">
        <v>54</v>
      </c>
      <c r="B44" s="5"/>
      <c r="C44" s="7" t="s">
        <v>68</v>
      </c>
      <c r="D44" s="3">
        <v>30</v>
      </c>
      <c r="E44" s="3">
        <v>28</v>
      </c>
      <c r="F44" s="3">
        <v>48</v>
      </c>
      <c r="G44" s="3">
        <v>51</v>
      </c>
      <c r="H44" s="3">
        <v>45</v>
      </c>
      <c r="I44" s="11">
        <v>0.11015999999999999</v>
      </c>
      <c r="J44" s="5"/>
    </row>
    <row r="45" spans="1:10" x14ac:dyDescent="0.35">
      <c r="A45" s="5" t="s">
        <v>95</v>
      </c>
      <c r="B45" s="5"/>
      <c r="C45" s="7"/>
      <c r="D45" s="3">
        <v>8</v>
      </c>
      <c r="E45" s="3">
        <v>6</v>
      </c>
      <c r="F45" s="3">
        <v>38</v>
      </c>
      <c r="G45" s="3">
        <v>56</v>
      </c>
      <c r="H45" s="3">
        <v>33</v>
      </c>
      <c r="I45" s="11">
        <v>7.0223999999999995E-2</v>
      </c>
      <c r="J45" s="5"/>
    </row>
    <row r="46" spans="1:10" x14ac:dyDescent="0.35">
      <c r="A46" s="5" t="s">
        <v>55</v>
      </c>
      <c r="B46" s="5"/>
      <c r="C46" s="7" t="s">
        <v>19</v>
      </c>
      <c r="D46" s="3">
        <v>7</v>
      </c>
      <c r="E46" s="3">
        <v>5</v>
      </c>
      <c r="F46" s="3">
        <v>46.5</v>
      </c>
      <c r="G46" s="3">
        <v>36.5</v>
      </c>
      <c r="H46" s="3">
        <v>55</v>
      </c>
      <c r="I46" s="11">
        <f>(F46*G46*H46)/1000000</f>
        <v>9.3348749999999994E-2</v>
      </c>
      <c r="J46" s="5"/>
    </row>
    <row r="47" spans="1:10" x14ac:dyDescent="0.35">
      <c r="A47" s="5" t="s">
        <v>56</v>
      </c>
      <c r="B47" s="5"/>
      <c r="C47" s="7" t="s">
        <v>31</v>
      </c>
      <c r="D47" s="3">
        <v>9.5</v>
      </c>
      <c r="E47" s="3">
        <v>9.3000000000000007</v>
      </c>
      <c r="F47" s="3">
        <v>36</v>
      </c>
      <c r="G47" s="3">
        <v>28</v>
      </c>
      <c r="H47" s="3">
        <v>33.5</v>
      </c>
      <c r="I47" s="11">
        <f>(F47*G47*H47)/1000000</f>
        <v>3.3767999999999999E-2</v>
      </c>
      <c r="J47" s="5"/>
    </row>
    <row r="48" spans="1:10" x14ac:dyDescent="0.35">
      <c r="A48" s="5" t="s">
        <v>57</v>
      </c>
      <c r="B48" s="5"/>
      <c r="C48" s="7" t="s">
        <v>68</v>
      </c>
      <c r="D48" s="3">
        <v>7</v>
      </c>
      <c r="E48" s="3">
        <v>5</v>
      </c>
      <c r="F48" s="3">
        <v>46.5</v>
      </c>
      <c r="G48" s="3">
        <v>36.5</v>
      </c>
      <c r="H48" s="3">
        <v>55</v>
      </c>
      <c r="I48" s="11">
        <f>(F48*G48*H48)/1000000</f>
        <v>9.3348749999999994E-2</v>
      </c>
      <c r="J48" s="5"/>
    </row>
    <row r="49" spans="1:10" x14ac:dyDescent="0.35">
      <c r="A49" s="5" t="s">
        <v>58</v>
      </c>
      <c r="B49" s="5"/>
      <c r="C49" s="7" t="s">
        <v>11</v>
      </c>
      <c r="D49" s="3">
        <v>10.3</v>
      </c>
      <c r="E49" s="3">
        <v>9.6</v>
      </c>
      <c r="F49" s="3">
        <v>49</v>
      </c>
      <c r="G49" s="3">
        <v>27</v>
      </c>
      <c r="H49" s="3">
        <v>45</v>
      </c>
      <c r="I49" s="11">
        <f>(F49*G49*H49)/1000000</f>
        <v>5.9534999999999998E-2</v>
      </c>
      <c r="J49" s="5"/>
    </row>
    <row r="50" spans="1:10" x14ac:dyDescent="0.35">
      <c r="A50" s="5" t="s">
        <v>59</v>
      </c>
      <c r="B50" s="5"/>
      <c r="C50" s="7" t="s">
        <v>11</v>
      </c>
      <c r="D50" s="3">
        <v>10.3</v>
      </c>
      <c r="E50" s="3">
        <v>9.6</v>
      </c>
      <c r="F50" s="3">
        <v>49</v>
      </c>
      <c r="G50" s="3">
        <v>27</v>
      </c>
      <c r="H50" s="3">
        <v>45</v>
      </c>
      <c r="I50" s="11">
        <f t="shared" ref="I50" si="0">(F50*G50*H50)/1000000</f>
        <v>5.9534999999999998E-2</v>
      </c>
      <c r="J50" s="5"/>
    </row>
    <row r="51" spans="1:10" x14ac:dyDescent="0.35">
      <c r="A51" s="5" t="s">
        <v>60</v>
      </c>
      <c r="B51" s="5"/>
      <c r="C51" s="7" t="s">
        <v>69</v>
      </c>
      <c r="D51" s="3">
        <v>10.72</v>
      </c>
      <c r="E51" s="3">
        <v>9.7200000000000006</v>
      </c>
      <c r="F51" s="3">
        <v>28</v>
      </c>
      <c r="G51" s="3">
        <v>28</v>
      </c>
      <c r="H51" s="3">
        <v>34.5</v>
      </c>
      <c r="I51" s="11">
        <v>2.7047999999999999E-2</v>
      </c>
      <c r="J51" s="5"/>
    </row>
    <row r="52" spans="1:10" x14ac:dyDescent="0.35">
      <c r="A52" s="5" t="s">
        <v>61</v>
      </c>
      <c r="B52" s="5"/>
      <c r="C52" s="7" t="s">
        <v>70</v>
      </c>
      <c r="D52" s="3">
        <v>12.75</v>
      </c>
      <c r="E52" s="3">
        <v>11.2</v>
      </c>
      <c r="F52" s="3">
        <v>37.5</v>
      </c>
      <c r="G52" s="3">
        <v>28.2</v>
      </c>
      <c r="H52" s="3">
        <v>34.799999999999997</v>
      </c>
      <c r="I52" s="11">
        <v>3.6801E-2</v>
      </c>
      <c r="J52" s="5"/>
    </row>
    <row r="53" spans="1:10" x14ac:dyDescent="0.35">
      <c r="A53" s="5" t="s">
        <v>94</v>
      </c>
      <c r="B53" s="5"/>
      <c r="C53" s="7"/>
      <c r="D53" s="3">
        <v>16</v>
      </c>
      <c r="E53" s="3">
        <v>15</v>
      </c>
      <c r="F53" s="3">
        <v>22</v>
      </c>
      <c r="G53" s="3">
        <v>7.8</v>
      </c>
      <c r="H53" s="3">
        <v>21</v>
      </c>
      <c r="I53" s="11">
        <v>9.3348749999999994E-2</v>
      </c>
      <c r="J53" s="5"/>
    </row>
    <row r="54" spans="1:10" x14ac:dyDescent="0.35">
      <c r="A54" s="5" t="s">
        <v>62</v>
      </c>
      <c r="B54" s="5"/>
      <c r="C54" s="7" t="s">
        <v>35</v>
      </c>
      <c r="D54" s="3">
        <v>10.3</v>
      </c>
      <c r="E54" s="3">
        <v>9.6</v>
      </c>
      <c r="F54" s="3">
        <v>21.8</v>
      </c>
      <c r="G54" s="3">
        <v>5.6</v>
      </c>
      <c r="H54" s="3">
        <v>14.1</v>
      </c>
      <c r="I54" s="11">
        <v>9.4E-2</v>
      </c>
      <c r="J54" s="5"/>
    </row>
    <row r="55" spans="1:10" x14ac:dyDescent="0.35">
      <c r="A55" s="5" t="s">
        <v>63</v>
      </c>
      <c r="B55" s="5"/>
      <c r="C55" s="7" t="s">
        <v>35</v>
      </c>
      <c r="D55" s="3">
        <v>10.3</v>
      </c>
      <c r="E55" s="3">
        <v>9.6</v>
      </c>
      <c r="F55" s="3">
        <v>21.8</v>
      </c>
      <c r="G55" s="3">
        <v>5.6</v>
      </c>
      <c r="H55" s="3">
        <v>14.1</v>
      </c>
      <c r="I55" s="11">
        <v>9.4E-2</v>
      </c>
      <c r="J55" s="5"/>
    </row>
    <row r="56" spans="1:10" x14ac:dyDescent="0.35">
      <c r="A56" s="5" t="s">
        <v>65</v>
      </c>
      <c r="B56" s="5"/>
      <c r="C56" s="7" t="s">
        <v>51</v>
      </c>
      <c r="D56" s="3">
        <v>15.6</v>
      </c>
      <c r="E56" s="3">
        <v>14.6</v>
      </c>
      <c r="F56" s="3">
        <v>54</v>
      </c>
      <c r="G56" s="3">
        <v>30</v>
      </c>
      <c r="H56" s="3">
        <v>44.5</v>
      </c>
      <c r="I56" s="11">
        <f t="shared" ref="I56:I57" si="1">(F56*G56*H56)/1000000</f>
        <v>7.2090000000000001E-2</v>
      </c>
      <c r="J56" s="5"/>
    </row>
    <row r="57" spans="1:10" x14ac:dyDescent="0.35">
      <c r="A57" s="5" t="s">
        <v>64</v>
      </c>
      <c r="B57" s="5"/>
      <c r="C57" s="7" t="s">
        <v>71</v>
      </c>
      <c r="D57" s="3">
        <v>20</v>
      </c>
      <c r="E57" s="3">
        <v>19.2</v>
      </c>
      <c r="F57" s="3">
        <v>48.5</v>
      </c>
      <c r="G57" s="3">
        <v>40.5</v>
      </c>
      <c r="H57" s="3">
        <v>42</v>
      </c>
      <c r="I57" s="11">
        <f t="shared" si="1"/>
        <v>8.2498500000000002E-2</v>
      </c>
      <c r="J57" s="5"/>
    </row>
    <row r="58" spans="1:10" x14ac:dyDescent="0.35">
      <c r="A58" s="5" t="s">
        <v>66</v>
      </c>
      <c r="B58" s="5"/>
      <c r="C58" s="7" t="s">
        <v>68</v>
      </c>
      <c r="D58" s="3">
        <v>30</v>
      </c>
      <c r="E58" s="3">
        <v>28</v>
      </c>
      <c r="F58" s="3">
        <f>12*4</f>
        <v>48</v>
      </c>
      <c r="G58" s="3">
        <f>25.5*2</f>
        <v>51</v>
      </c>
      <c r="H58" s="3">
        <f>2.5*18</f>
        <v>45</v>
      </c>
      <c r="I58" s="11">
        <f>(F58*G58*H58)/1000000</f>
        <v>0.11015999999999999</v>
      </c>
      <c r="J58" s="5"/>
    </row>
    <row r="59" spans="1:10" x14ac:dyDescent="0.35">
      <c r="D59" s="3"/>
      <c r="E59" s="3"/>
      <c r="F59" s="3"/>
      <c r="G59" s="3"/>
      <c r="H59" s="3"/>
      <c r="I59" s="11"/>
    </row>
    <row r="60" spans="1:10" x14ac:dyDescent="0.35">
      <c r="D60" s="3"/>
      <c r="E60" s="3"/>
      <c r="F60" s="3"/>
      <c r="G60" s="3"/>
      <c r="H60" s="3"/>
      <c r="I60" s="11"/>
    </row>
    <row r="61" spans="1:10" ht="23.5" x14ac:dyDescent="0.35">
      <c r="A61" s="14" t="s">
        <v>84</v>
      </c>
    </row>
    <row r="62" spans="1:10" x14ac:dyDescent="0.35">
      <c r="A62" s="16" t="s">
        <v>0</v>
      </c>
      <c r="B62" s="17" t="s">
        <v>1</v>
      </c>
      <c r="C62" s="18" t="s">
        <v>8</v>
      </c>
      <c r="D62" s="19" t="s">
        <v>2</v>
      </c>
      <c r="E62" s="19" t="s">
        <v>3</v>
      </c>
      <c r="F62" s="19" t="s">
        <v>4</v>
      </c>
      <c r="G62" s="19" t="s">
        <v>5</v>
      </c>
      <c r="H62" s="19" t="s">
        <v>6</v>
      </c>
      <c r="I62" s="20" t="s">
        <v>7</v>
      </c>
    </row>
    <row r="63" spans="1:10" x14ac:dyDescent="0.35">
      <c r="A63" s="5" t="s">
        <v>72</v>
      </c>
      <c r="C63" s="3" t="s">
        <v>83</v>
      </c>
      <c r="D63">
        <v>9.6</v>
      </c>
      <c r="E63">
        <v>8.8000000000000007</v>
      </c>
    </row>
    <row r="64" spans="1:10" x14ac:dyDescent="0.35">
      <c r="A64" s="5" t="s">
        <v>72</v>
      </c>
      <c r="C64" s="3" t="s">
        <v>82</v>
      </c>
      <c r="D64">
        <v>25</v>
      </c>
      <c r="E64">
        <v>24</v>
      </c>
    </row>
    <row r="65" spans="1:9" x14ac:dyDescent="0.35">
      <c r="A65" s="5" t="s">
        <v>73</v>
      </c>
      <c r="C65" s="3" t="s">
        <v>18</v>
      </c>
      <c r="D65">
        <v>12.55</v>
      </c>
      <c r="E65">
        <v>11.45</v>
      </c>
    </row>
    <row r="66" spans="1:9" x14ac:dyDescent="0.35">
      <c r="A66" s="5" t="s">
        <v>73</v>
      </c>
      <c r="C66" s="3" t="s">
        <v>81</v>
      </c>
      <c r="D66">
        <v>15.7</v>
      </c>
      <c r="E66">
        <v>14.7</v>
      </c>
    </row>
    <row r="67" spans="1:9" x14ac:dyDescent="0.35">
      <c r="A67" s="5" t="s">
        <v>74</v>
      </c>
      <c r="C67" s="3" t="s">
        <v>80</v>
      </c>
      <c r="D67">
        <v>15.2</v>
      </c>
      <c r="E67">
        <v>14.2</v>
      </c>
    </row>
    <row r="68" spans="1:9" x14ac:dyDescent="0.35">
      <c r="A68" s="5" t="s">
        <v>75</v>
      </c>
      <c r="C68" s="3" t="s">
        <v>31</v>
      </c>
      <c r="D68">
        <v>13.2</v>
      </c>
      <c r="E68">
        <v>12.5</v>
      </c>
    </row>
    <row r="69" spans="1:9" x14ac:dyDescent="0.35">
      <c r="A69" s="5" t="s">
        <v>76</v>
      </c>
      <c r="C69" s="3" t="s">
        <v>79</v>
      </c>
      <c r="D69">
        <v>18.86</v>
      </c>
      <c r="E69">
        <v>17.239999999999998</v>
      </c>
    </row>
    <row r="70" spans="1:9" x14ac:dyDescent="0.35">
      <c r="A70" s="5" t="s">
        <v>76</v>
      </c>
      <c r="C70" s="3" t="s">
        <v>78</v>
      </c>
      <c r="D70">
        <v>17.600000000000001</v>
      </c>
      <c r="E70">
        <v>16.600000000000001</v>
      </c>
    </row>
    <row r="71" spans="1:9" x14ac:dyDescent="0.35">
      <c r="A71" s="5" t="s">
        <v>77</v>
      </c>
      <c r="C71" s="3" t="s">
        <v>18</v>
      </c>
      <c r="D71">
        <v>28.5</v>
      </c>
      <c r="E71">
        <v>27</v>
      </c>
    </row>
    <row r="72" spans="1:9" x14ac:dyDescent="0.35">
      <c r="A72" s="5"/>
    </row>
    <row r="73" spans="1:9" ht="23.5" x14ac:dyDescent="0.35">
      <c r="A73" s="14" t="s">
        <v>91</v>
      </c>
    </row>
    <row r="74" spans="1:9" x14ac:dyDescent="0.35">
      <c r="A74" s="16" t="s">
        <v>0</v>
      </c>
      <c r="B74" s="17" t="s">
        <v>1</v>
      </c>
      <c r="C74" s="18" t="s">
        <v>8</v>
      </c>
      <c r="D74" s="19" t="s">
        <v>2</v>
      </c>
      <c r="E74" s="19" t="s">
        <v>3</v>
      </c>
      <c r="F74" s="19" t="s">
        <v>4</v>
      </c>
      <c r="G74" s="19" t="s">
        <v>5</v>
      </c>
      <c r="H74" s="19" t="s">
        <v>6</v>
      </c>
      <c r="I74" s="20" t="s">
        <v>7</v>
      </c>
    </row>
    <row r="75" spans="1:9" x14ac:dyDescent="0.35">
      <c r="A75" s="5" t="s">
        <v>86</v>
      </c>
      <c r="C75" s="3" t="s">
        <v>43</v>
      </c>
      <c r="D75">
        <v>11.8</v>
      </c>
      <c r="E75">
        <v>11.6</v>
      </c>
      <c r="F75">
        <v>28.4</v>
      </c>
      <c r="G75">
        <v>31.6</v>
      </c>
      <c r="H75">
        <v>30</v>
      </c>
      <c r="I75" s="9">
        <v>2.7E-2</v>
      </c>
    </row>
    <row r="76" spans="1:9" x14ac:dyDescent="0.35">
      <c r="A76" s="5" t="s">
        <v>30</v>
      </c>
      <c r="C76" s="3" t="s">
        <v>31</v>
      </c>
      <c r="D76">
        <v>12.75</v>
      </c>
      <c r="E76">
        <v>11.2</v>
      </c>
      <c r="F76">
        <v>37.5</v>
      </c>
      <c r="G76">
        <v>28.2</v>
      </c>
      <c r="H76">
        <v>34.799999999999997</v>
      </c>
      <c r="I76" s="9">
        <v>3.6999999999999998E-2</v>
      </c>
    </row>
    <row r="77" spans="1:9" x14ac:dyDescent="0.35">
      <c r="A77" s="5" t="s">
        <v>87</v>
      </c>
      <c r="C77" s="3" t="s">
        <v>90</v>
      </c>
      <c r="D77">
        <v>12</v>
      </c>
      <c r="E77">
        <v>11.23</v>
      </c>
      <c r="F77">
        <v>36</v>
      </c>
      <c r="G77">
        <v>27</v>
      </c>
      <c r="H77">
        <v>27</v>
      </c>
      <c r="I77" s="9">
        <v>2.6244E-2</v>
      </c>
    </row>
    <row r="78" spans="1:9" x14ac:dyDescent="0.35">
      <c r="A78" s="5" t="s">
        <v>88</v>
      </c>
      <c r="C78" s="3" t="s">
        <v>18</v>
      </c>
      <c r="D78">
        <v>12.75</v>
      </c>
      <c r="E78">
        <v>11.2</v>
      </c>
      <c r="F78">
        <v>37.5</v>
      </c>
      <c r="G78">
        <v>28.2</v>
      </c>
      <c r="H78">
        <v>34.799999999999997</v>
      </c>
      <c r="I78" s="9">
        <v>3.6999999999999998E-2</v>
      </c>
    </row>
    <row r="79" spans="1:9" x14ac:dyDescent="0.35">
      <c r="A79" s="5" t="s">
        <v>42</v>
      </c>
      <c r="C79" s="3" t="s">
        <v>43</v>
      </c>
      <c r="D79">
        <v>11</v>
      </c>
      <c r="E79">
        <v>13</v>
      </c>
      <c r="F79">
        <v>35</v>
      </c>
      <c r="G79">
        <v>22</v>
      </c>
      <c r="H79">
        <v>39</v>
      </c>
      <c r="I79" s="9">
        <v>0.03</v>
      </c>
    </row>
    <row r="80" spans="1:9" x14ac:dyDescent="0.35">
      <c r="A80" s="5" t="s">
        <v>89</v>
      </c>
      <c r="C80" s="3" t="s">
        <v>81</v>
      </c>
      <c r="D80">
        <v>9.5440000000000005</v>
      </c>
      <c r="E80">
        <v>8.5440000000000005</v>
      </c>
      <c r="F80">
        <v>44.8</v>
      </c>
      <c r="G80">
        <v>30</v>
      </c>
      <c r="H80">
        <v>10</v>
      </c>
      <c r="I80" s="9">
        <v>1.2999999999999999E-2</v>
      </c>
    </row>
    <row r="81" spans="1:1" x14ac:dyDescent="0.35">
      <c r="A81" s="5"/>
    </row>
  </sheetData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F63F-BD98-4ADA-930F-5E0DE138B852}">
  <dimension ref="A1"/>
  <sheetViews>
    <sheetView workbookViewId="0">
      <selection activeCell="I14" sqref="I1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chaudhari</dc:creator>
  <cp:lastModifiedBy>Mind Assets Analytics MAA0001</cp:lastModifiedBy>
  <dcterms:created xsi:type="dcterms:W3CDTF">2026-06-16T13:11:10Z</dcterms:created>
  <dcterms:modified xsi:type="dcterms:W3CDTF">2026-06-23T12:57:15Z</dcterms:modified>
</cp:coreProperties>
</file>